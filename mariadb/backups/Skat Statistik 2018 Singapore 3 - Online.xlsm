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admin\Desktop\Skat\Singapore 3 - Online\"/>
    </mc:Choice>
  </mc:AlternateContent>
  <bookViews>
    <workbookView xWindow="0" yWindow="0" windowWidth="7605" windowHeight="6360"/>
  </bookViews>
  <sheets>
    <sheet name="Auswertung" sheetId="4" r:id="rId1"/>
    <sheet name="Skat Input" sheetId="1" r:id="rId2"/>
    <sheet name="Spiellisten" sheetId="5" r:id="rId3"/>
    <sheet name="Stats" sheetId="8" r:id="rId4"/>
    <sheet name="Graph" sheetId="10" r:id="rId5"/>
    <sheet name="Config" sheetId="2" r:id="rId6"/>
  </sheets>
  <definedNames>
    <definedName name="MaxLoss">Auswertung!$L$6</definedName>
    <definedName name="Slicer_Datum">#N/A</definedName>
    <definedName name="Slicer_Datum1">#N/A</definedName>
    <definedName name="Slicer_Runde">#N/A</definedName>
    <definedName name="Slicer_Runde1">#N/A</definedName>
    <definedName name="Tarif">Auswertung!$K$6</definedName>
  </definedNames>
  <calcPr calcId="162913"/>
  <pivotCaches>
    <pivotCache cacheId="150" r:id="rId7"/>
    <pivotCache cacheId="152" r:id="rId8"/>
    <pivotCache cacheId="154"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2"/>
        <x14:slicerCache r:id="rId13"/>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33" i="1" l="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59" i="1"/>
  <c r="M161" i="1"/>
  <c r="M160"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l="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l="1"/>
  <c r="M43" i="1"/>
  <c r="M42" i="1"/>
  <c r="M41" i="1"/>
  <c r="M40" i="1"/>
  <c r="M39" i="1"/>
  <c r="M38" i="1"/>
  <c r="M37" i="1"/>
  <c r="M36" i="1"/>
  <c r="M35" i="1"/>
  <c r="M34" i="1"/>
  <c r="M33" i="1"/>
  <c r="M32" i="1"/>
  <c r="M31" i="1"/>
  <c r="M30" i="1"/>
  <c r="M29" i="1"/>
  <c r="M28" i="1"/>
  <c r="M27" i="1"/>
  <c r="M26" i="1"/>
  <c r="M25" i="1"/>
  <c r="M24" i="1"/>
  <c r="M23" i="1"/>
  <c r="M22" i="1"/>
  <c r="M21" i="1"/>
  <c r="M20" i="1"/>
  <c r="M19" i="1"/>
  <c r="M18" i="1" l="1"/>
  <c r="M17" i="1"/>
  <c r="M16" i="1"/>
  <c r="M15" i="1"/>
  <c r="M14" i="1"/>
  <c r="M13" i="1"/>
  <c r="M12" i="1"/>
  <c r="M11" i="1"/>
  <c r="M10" i="1"/>
  <c r="M9" i="1"/>
  <c r="M8" i="1"/>
  <c r="M7" i="1"/>
  <c r="M6" i="1"/>
  <c r="M5" i="1"/>
  <c r="M4" i="1"/>
  <c r="M3" i="1"/>
  <c r="M2" i="1" l="1"/>
</calcChain>
</file>

<file path=xl/connections.xml><?xml version="1.0" encoding="utf-8"?>
<connections xmlns="http://schemas.openxmlformats.org/spreadsheetml/2006/main">
  <connection id="1" keepAlive="1" name="Query - Calculate" description="Connection to the 'Calculate' query in the workbook." type="5" refreshedVersion="0" background="1">
    <dbPr connection="Provider=Microsoft.Mashup.OleDb.1;Data Source=$Workbook$;Location=Calculate" command="SELECT * FROM [Calculate]"/>
  </connection>
  <connection id="2" keepAlive="1" name="Query - Games" description="Connection to the 'Games' query in the workbook." type="5" refreshedVersion="0" saveData="1">
    <dbPr connection="Provider=Microsoft.Mashup.OleDb.1;Data Source=$Workbook$;Location=Games" command="SELECT * FROM [Games]"/>
  </connection>
  <connection id="3" keepAlive="1" name="Query - Geldbetrag" description="Connection to the 'Geldbetrag' query in the workbook." type="5" refreshedVersion="6">
    <dbPr connection="Provider=Microsoft.Mashup.OleDb.1;Data Source=$Workbook$;Location=Geldbetrag;Extended Properties=&quot;&quot;" command="SELECT * FROM [Geldbetrag]"/>
  </connection>
  <connection id="4" keepAlive="1" name="Query - Gewinnstufen" description="Connection to the 'Gewinnstufen' query in the workbook." type="5" refreshedVersion="0" saveData="1">
    <dbPr connection="Provider=Microsoft.Mashup.OleDb.1;Data Source=$Workbook$;Location=Gewinnstufen" command="SELECT * FROM [Gewinnstufen]"/>
  </connection>
  <connection id="5" keepAlive="1" name="Query - Grundwerte" description="Connection to the 'Grundwerte' query in the workbook." type="5" refreshedVersion="0" saveData="1">
    <dbPr connection="Provider=Microsoft.Mashup.OleDb.1;Data Source=$Workbook$;Location=Grundwerte" command="SELECT * FROM [Grundwerte]"/>
  </connection>
  <connection id="6" keepAlive="1" name="Query - MaxLoss" description="Connection to the 'MaxLoss' query in the workbook." type="5" refreshedVersion="0" background="1">
    <dbPr connection="Provider=Microsoft.Mashup.OleDb.1;Data Source=$Workbook$;Location=MaxLoss" command="SELECT * FROM [MaxLoss]"/>
  </connection>
  <connection id="7" keepAlive="1" name="Query - Punkte" description="Connection to the 'Punkte' query in the workbook." type="5" refreshedVersion="6" saveData="1">
    <dbPr connection="Provider=Microsoft.Mashup.OleDb.1;Data Source=$Workbook$;Location=Punkte;Extended Properties=&quot;&quot;" command="SELECT * FROM [Punkte]"/>
  </connection>
  <connection id="8" keepAlive="1" name="Query - Round Players" description="Connection to the 'Round Players' query in the workbook." type="5" refreshedVersion="0" saveData="1">
    <dbPr connection="Provider=Microsoft.Mashup.OleDb.1;Data Source=$Workbook$;Location=&quot;Round Players&quot;" command="SELECT * FROM [Round Players]"/>
  </connection>
  <connection id="9" keepAlive="1" name="Query - Rounds" description="Connection to the 'Rounds' query in the workbook." type="5" refreshedVersion="0" saveData="1">
    <dbPr connection="Provider=Microsoft.Mashup.OleDb.1;Data Source=$Workbook$;Location=Rounds" command="SELECT * FROM [Rounds]"/>
  </connection>
  <connection id="10" keepAlive="1" name="Query - Spielwerte" description="Connection to the 'Spielwerte' query in the workbook." type="5" refreshedVersion="0" saveData="1">
    <dbPr connection="Provider=Microsoft.Mashup.OleDb.1;Data Source=$Workbook$;Location=Spielwerte" command="SELECT * FROM [Spielwerte]"/>
  </connection>
  <connection id="11" keepAlive="1" name="Query - Statistics" description="Connection to the 'Statistics' query in the workbook." type="5" refreshedVersion="6" saveData="1">
    <dbPr connection="Provider=Microsoft.Mashup.OleDb.1;Data Source=$Workbook$;Location=Statistics;Extended Properties=&quot;&quot;" command="SELECT * FROM [Statistics]"/>
  </connection>
  <connection id="12" keepAlive="1" name="Query - Tarif" description="Connection to the 'Tarif' query in the workbook." type="5" refreshedVersion="0" saveData="1">
    <dbPr connection="Provider=Microsoft.Mashup.OleDb.1;Data Source=$Workbook$;Location=Tarif" command="SELECT * FROM [Tarif]"/>
  </connection>
</connections>
</file>

<file path=xl/sharedStrings.xml><?xml version="1.0" encoding="utf-8"?>
<sst xmlns="http://schemas.openxmlformats.org/spreadsheetml/2006/main" count="1123" uniqueCount="63">
  <si>
    <t>Datum</t>
  </si>
  <si>
    <t>Spiel</t>
  </si>
  <si>
    <t>Grundwert</t>
  </si>
  <si>
    <t>Spieler</t>
  </si>
  <si>
    <t>Status</t>
  </si>
  <si>
    <t>Bernd</t>
  </si>
  <si>
    <t>Kreuz</t>
  </si>
  <si>
    <t>G</t>
  </si>
  <si>
    <t>Spitzen</t>
  </si>
  <si>
    <t>Leif</t>
  </si>
  <si>
    <t>Grand</t>
  </si>
  <si>
    <t>Pik</t>
  </si>
  <si>
    <t>V</t>
  </si>
  <si>
    <t>Miki</t>
  </si>
  <si>
    <t>Karo</t>
  </si>
  <si>
    <t>Null</t>
  </si>
  <si>
    <t>Herz</t>
  </si>
  <si>
    <t>Ramsch</t>
  </si>
  <si>
    <t>Bockrunde</t>
  </si>
  <si>
    <t>Schneider</t>
  </si>
  <si>
    <t>Check</t>
  </si>
  <si>
    <t>Gespielt</t>
  </si>
  <si>
    <t>Hand</t>
  </si>
  <si>
    <t>Augen</t>
  </si>
  <si>
    <t>Gewinnstufe</t>
  </si>
  <si>
    <t>Hand Schneider</t>
  </si>
  <si>
    <t>Schneider angesagt</t>
  </si>
  <si>
    <t>Schwarz</t>
  </si>
  <si>
    <t>Hand Schwarz</t>
  </si>
  <si>
    <t>Schwarz angesagt</t>
  </si>
  <si>
    <t>Offen</t>
  </si>
  <si>
    <t>Schneider ang. Schwarz</t>
  </si>
  <si>
    <t>Grad</t>
  </si>
  <si>
    <t>Grand Total</t>
  </si>
  <si>
    <t>Alleinspieler</t>
  </si>
  <si>
    <t>Typ</t>
  </si>
  <si>
    <t>Runde</t>
  </si>
  <si>
    <t>Row Labels</t>
  </si>
  <si>
    <t>Geld</t>
  </si>
  <si>
    <t>Hand Offen</t>
  </si>
  <si>
    <t>Kontra</t>
  </si>
  <si>
    <t>RT</t>
  </si>
  <si>
    <t>Fakt</t>
  </si>
  <si>
    <t>Spielpunkte</t>
  </si>
  <si>
    <t>(blank)</t>
  </si>
  <si>
    <t>Re</t>
  </si>
  <si>
    <t>Values</t>
  </si>
  <si>
    <t>Spiele</t>
  </si>
  <si>
    <t>Punkte</t>
  </si>
  <si>
    <t>Bewertung</t>
  </si>
  <si>
    <t>Spieltyp</t>
  </si>
  <si>
    <t>Alleinspiel</t>
  </si>
  <si>
    <t>Gegenspiel</t>
  </si>
  <si>
    <t>%</t>
  </si>
  <si>
    <t>Schneider Schwarz</t>
  </si>
  <si>
    <t>Einfach</t>
  </si>
  <si>
    <t>X</t>
  </si>
  <si>
    <t>Max Loss</t>
  </si>
  <si>
    <t>Pkt</t>
  </si>
  <si>
    <t>Betrag</t>
  </si>
  <si>
    <t>Betraege</t>
  </si>
  <si>
    <t>History</t>
  </si>
  <si>
    <t>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</si>
</sst>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8" formatCode="&quot;$&quot;#,##0.00;[Red]\-&quot;$&quot;#,##0.00"/>
    <numFmt numFmtId="44" formatCode="_-&quot;$&quot;* #,##0.00_-;\-&quot;$&quot;* #,##0.00_-;_-&quot;$&quot;* &quot;-&quot;??_-;_-@_-"/>
    <numFmt numFmtId="43" formatCode="_-* #,##0.00_-;\-* #,##0.00_-;_-* &quot;-&quot;??_-;_-@_-"/>
    <numFmt numFmtId="164" formatCode="_-* #,##0_-;\-* #,##0_-;_-* &quot;-&quot;??_-;_-@_-"/>
    <numFmt numFmtId="165" formatCode="&quot;$&quot;#,##0.00"/>
    <numFmt numFmtId="166" formatCode="_-* #,##0.0_-;\-* #,##0.0_-;_-* &quot;-&quot;??_-;_-@_-"/>
    <numFmt numFmtId="167" formatCode="ddd\,\ \ dd\ mmm\ yy"/>
    <numFmt numFmtId="168" formatCode="ddd\,\ dd\ mmm\ yy"/>
    <numFmt numFmtId="169" formatCode="#,##0_ ;[Red]\-#,##0\ "/>
  </numFmts>
  <fonts count="4" x14ac:knownFonts="1">
    <font>
      <sz val="11"/>
      <color theme="1"/>
      <name val="Calibri"/>
      <family val="2"/>
      <scheme val="minor"/>
    </font>
    <font>
      <sz val="11"/>
      <color theme="1"/>
      <name val="Calibri"/>
      <family val="2"/>
      <scheme val="minor"/>
    </font>
    <font>
      <b/>
      <sz val="11"/>
      <color theme="0"/>
      <name val="Calibri"/>
      <family val="2"/>
      <scheme val="minor"/>
    </font>
    <font>
      <sz val="11"/>
      <name val="Calibri"/>
      <family val="2"/>
      <scheme val="minor"/>
    </font>
  </fonts>
  <fills count="4">
    <fill>
      <patternFill patternType="none"/>
    </fill>
    <fill>
      <patternFill patternType="gray125"/>
    </fill>
    <fill>
      <patternFill patternType="solid">
        <fgColor theme="2" tint="-0.499984740745262"/>
        <bgColor indexed="64"/>
      </patternFill>
    </fill>
    <fill>
      <patternFill patternType="solid">
        <fgColor theme="7" tint="0.79998168889431442"/>
        <bgColor indexed="64"/>
      </patternFill>
    </fill>
  </fills>
  <borders count="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44" fontId="1" fillId="0" borderId="0" applyFont="0" applyFill="0" applyBorder="0" applyAlignment="0" applyProtection="0"/>
  </cellStyleXfs>
  <cellXfs count="36">
    <xf numFmtId="0" fontId="0" fillId="0" borderId="0" xfId="0"/>
    <xf numFmtId="0" fontId="0" fillId="0" borderId="0" xfId="0" applyNumberFormat="1"/>
    <xf numFmtId="0" fontId="0" fillId="0" borderId="0" xfId="0" pivotButton="1"/>
    <xf numFmtId="165" fontId="0" fillId="0" borderId="0" xfId="0" applyNumberFormat="1"/>
    <xf numFmtId="166" fontId="0" fillId="0" borderId="0" xfId="1" applyNumberFormat="1" applyFont="1"/>
    <xf numFmtId="168" fontId="0" fillId="0" borderId="0" xfId="0" applyNumberFormat="1"/>
    <xf numFmtId="14" fontId="0" fillId="0" borderId="0" xfId="0" applyNumberFormat="1"/>
    <xf numFmtId="169" fontId="0" fillId="0" borderId="0" xfId="0" applyNumberFormat="1"/>
    <xf numFmtId="0" fontId="0" fillId="0" borderId="0" xfId="0" applyAlignment="1">
      <alignment horizontal="right"/>
    </xf>
    <xf numFmtId="9" fontId="0" fillId="0" borderId="0" xfId="0" applyNumberFormat="1"/>
    <xf numFmtId="0" fontId="0" fillId="0" borderId="0" xfId="0" applyAlignment="1">
      <alignment horizontal="center"/>
    </xf>
    <xf numFmtId="0" fontId="0" fillId="0" borderId="0" xfId="0" pivotButton="1" applyAlignment="1">
      <alignment horizontal="center"/>
    </xf>
    <xf numFmtId="14" fontId="0" fillId="0" borderId="0" xfId="0" applyNumberFormat="1" applyAlignment="1">
      <alignment horizontal="center" vertical="center" wrapText="1"/>
    </xf>
    <xf numFmtId="0" fontId="0" fillId="0" borderId="0" xfId="0" applyAlignment="1">
      <alignment horizontal="center"/>
    </xf>
    <xf numFmtId="164" fontId="0" fillId="0" borderId="0" xfId="1" applyNumberFormat="1" applyFont="1" applyAlignment="1">
      <alignment horizontal="center"/>
    </xf>
    <xf numFmtId="16" fontId="0" fillId="0" borderId="0" xfId="0" applyNumberForma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2" fillId="2" borderId="1" xfId="0" applyFont="1" applyFill="1" applyBorder="1" applyAlignment="1"/>
    <xf numFmtId="0" fontId="2" fillId="2" borderId="2" xfId="0" applyFont="1" applyFill="1" applyBorder="1" applyAlignment="1"/>
    <xf numFmtId="0" fontId="2" fillId="2" borderId="3" xfId="0" applyFont="1" applyFill="1" applyBorder="1" applyAlignment="1"/>
    <xf numFmtId="8" fontId="3" fillId="3" borderId="4" xfId="2" applyNumberFormat="1" applyFont="1" applyFill="1" applyBorder="1" applyAlignment="1">
      <alignment vertical="center"/>
    </xf>
    <xf numFmtId="0" fontId="0" fillId="0" borderId="0" xfId="0" applyAlignment="1">
      <alignment horizontal="center" vertical="center" wrapText="1"/>
    </xf>
    <xf numFmtId="0" fontId="0" fillId="0" borderId="0" xfId="0" applyAlignment="1">
      <alignment horizontal="center"/>
    </xf>
    <xf numFmtId="0" fontId="0" fillId="0" borderId="0" xfId="0" pivotButton="1" applyAlignment="1">
      <alignment horizontal="center" vertical="center" textRotation="90"/>
    </xf>
    <xf numFmtId="0" fontId="0" fillId="0" borderId="0" xfId="0" applyAlignment="1">
      <alignment horizontal="center" vertical="center" textRotation="90"/>
    </xf>
    <xf numFmtId="0" fontId="0" fillId="0" borderId="0" xfId="0" applyNumberFormat="1" applyAlignment="1">
      <alignment horizontal="center"/>
    </xf>
    <xf numFmtId="0" fontId="0" fillId="0" borderId="0" xfId="0" applyAlignment="1">
      <alignment horizontal="right" vertical="center"/>
    </xf>
    <xf numFmtId="0" fontId="0" fillId="0" borderId="0" xfId="0" applyAlignment="1">
      <alignment horizontal="right" vertical="center" textRotation="90"/>
    </xf>
    <xf numFmtId="0" fontId="0" fillId="0" borderId="0" xfId="0" applyNumberFormat="1" applyAlignment="1">
      <alignment horizontal="right" vertical="center"/>
    </xf>
    <xf numFmtId="8" fontId="0" fillId="0" borderId="0" xfId="0" pivotButton="1" applyNumberFormat="1"/>
    <xf numFmtId="8" fontId="0" fillId="0" borderId="0" xfId="0" applyNumberFormat="1"/>
    <xf numFmtId="0" fontId="0" fillId="0" borderId="0" xfId="0" applyAlignment="1">
      <alignment horizontal="center" vertical="center" wrapText="1"/>
    </xf>
    <xf numFmtId="0" fontId="0" fillId="0" borderId="0" xfId="0" applyAlignment="1">
      <alignment horizontal="center"/>
    </xf>
  </cellXfs>
  <cellStyles count="3">
    <cellStyle name="Comma" xfId="1" builtinId="3"/>
    <cellStyle name="Currency" xfId="2" builtinId="4"/>
    <cellStyle name="Normal" xfId="0" builtinId="0"/>
  </cellStyles>
  <dxfs count="351">
    <dxf>
      <numFmt numFmtId="166" formatCode="_-* #,##0.0_-;\-* #,##0.0_-;_-* &quot;-&quot;??_-;_-@_-"/>
    </dxf>
    <dxf>
      <numFmt numFmtId="164" formatCode="_-* #,##0_-;\-* #,##0_-;_-* &quot;-&quot;??_-;_-@_-"/>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alignment horizontal="right" readingOrder="0"/>
    </dxf>
    <dxf>
      <alignment horizontal="right" readingOrder="0"/>
    </dxf>
    <dxf>
      <alignment horizontal="right" readingOrder="0"/>
    </dxf>
    <dxf>
      <alignment horizontal="right" readingOrder="0"/>
    </dxf>
    <dxf>
      <alignment horizontal="righ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right" readingOrder="0"/>
    </dxf>
    <dxf>
      <alignment horizontal="right" readingOrder="0"/>
    </dxf>
    <dxf>
      <alignment horizontal="right" readingOrder="0"/>
    </dxf>
    <dxf>
      <alignment horizontal="right" readingOrder="0"/>
    </dxf>
    <dxf>
      <alignment horizontal="right" readingOrder="0"/>
    </dxf>
    <dxf>
      <numFmt numFmtId="13" formatCode="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right" readingOrder="0"/>
    </dxf>
    <dxf>
      <alignment horizontal="right" readingOrder="0"/>
    </dxf>
    <dxf>
      <alignment horizontal="right" readingOrder="0"/>
    </dxf>
    <dxf>
      <alignment horizontal="right" readingOrder="0"/>
    </dxf>
    <dxf>
      <alignment horizontal="right" readingOrder="0"/>
    </dxf>
    <dxf>
      <numFmt numFmtId="13" formatCode="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right" readingOrder="0"/>
    </dxf>
    <dxf>
      <alignment horizontal="right" readingOrder="0"/>
    </dxf>
    <dxf>
      <alignment horizontal="right" readingOrder="0"/>
    </dxf>
    <dxf>
      <alignment horizontal="right" readingOrder="0"/>
    </dxf>
    <dxf>
      <alignment horizontal="right" readingOrder="0"/>
    </dxf>
    <dxf>
      <numFmt numFmtId="13" formatCode="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horizontal="right" readingOrder="0"/>
    </dxf>
    <dxf>
      <alignment horizontal="right" readingOrder="0"/>
    </dxf>
    <dxf>
      <alignment horizontal="center" readingOrder="0"/>
    </dxf>
    <dxf>
      <alignment horizontal="center" readingOrder="0"/>
    </dxf>
    <dxf>
      <alignment horizontal="center" readingOrder="0"/>
    </dxf>
    <dxf>
      <alignment horizontal="center"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horizontal="right" readingOrder="0"/>
    </dxf>
    <dxf>
      <alignment horizontal="right" readingOrder="0"/>
    </dxf>
    <dxf>
      <alignment horizontal="center" readingOrder="0"/>
    </dxf>
    <dxf>
      <alignment horizontal="center" readingOrder="0"/>
    </dxf>
    <dxf>
      <alignment horizontal="center" readingOrder="0"/>
    </dxf>
    <dxf>
      <alignment horizontal="center"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right" readingOrder="0"/>
    </dxf>
    <dxf>
      <alignment horizontal="right" readingOrder="0"/>
    </dxf>
    <dxf>
      <alignment horizontal="right" readingOrder="0"/>
    </dxf>
    <dxf>
      <alignment horizontal="right" readingOrder="0"/>
    </dxf>
    <dxf>
      <alignment horizontal="right" readingOrder="0"/>
    </dxf>
    <dxf>
      <numFmt numFmtId="13" formatCode="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right" readingOrder="0"/>
    </dxf>
    <dxf>
      <alignment horizontal="right" readingOrder="0"/>
    </dxf>
    <dxf>
      <alignment horizontal="right" readingOrder="0"/>
    </dxf>
    <dxf>
      <alignment horizontal="right" readingOrder="0"/>
    </dxf>
    <dxf>
      <alignment horizontal="right" readingOrder="0"/>
    </dxf>
    <dxf>
      <numFmt numFmtId="13" formatCode="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right" readingOrder="0"/>
    </dxf>
    <dxf>
      <alignment horizontal="right" readingOrder="0"/>
    </dxf>
    <dxf>
      <alignment horizontal="right" readingOrder="0"/>
    </dxf>
    <dxf>
      <alignment horizontal="right" readingOrder="0"/>
    </dxf>
    <dxf>
      <alignment horizontal="right" readingOrder="0"/>
    </dxf>
    <dxf>
      <numFmt numFmtId="13" formatCode="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numFmt numFmtId="166" formatCode="_-* #,##0.0_-;\-* #,##0.0_-;_-* &quot;-&quot;??_-;_-@_-"/>
    </dxf>
    <dxf>
      <numFmt numFmtId="164" formatCode="_-* #,##0_-;\-* #,##0_-;_-* &quot;-&quot;??_-;_-@_-"/>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70" formatCode=";;;"/>
    </dxf>
    <dxf>
      <font>
        <color theme="0"/>
      </font>
    </dxf>
    <dxf>
      <numFmt numFmtId="170" formatCode=";;;"/>
    </dxf>
    <dxf>
      <font>
        <color theme="0"/>
      </font>
    </dxf>
    <dxf>
      <numFmt numFmtId="170" formatCode=";;;"/>
    </dxf>
    <dxf>
      <font>
        <color theme="0"/>
      </font>
    </dxf>
    <dxf>
      <numFmt numFmtId="170" formatCode=";;;"/>
    </dxf>
    <dxf>
      <font>
        <color theme="0"/>
      </font>
    </dxf>
    <dxf>
      <numFmt numFmtId="170" formatCode=";;;"/>
    </dxf>
    <dxf>
      <font>
        <color theme="0"/>
      </font>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horizontal="right" readingOrder="0"/>
    </dxf>
    <dxf>
      <alignment horizontal="right" readingOrder="0"/>
    </dxf>
    <dxf>
      <alignment horizontal="center" readingOrder="0"/>
    </dxf>
    <dxf>
      <alignment horizontal="center" readingOrder="0"/>
    </dxf>
    <dxf>
      <alignment horizontal="center" readingOrder="0"/>
    </dxf>
    <dxf>
      <alignment horizontal="center" readingOrder="0"/>
    </dxf>
    <dxf>
      <alignment horizontal="center" vertical="bottom" textRotation="0" wrapText="0" indent="0" justifyLastLine="0" shrinkToFit="0"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numFmt numFmtId="13" formatCode="0%"/>
    </dxf>
    <dxf>
      <alignment horizontal="right" readingOrder="0"/>
    </dxf>
    <dxf>
      <alignment horizontal="right" readingOrder="0"/>
    </dxf>
    <dxf>
      <alignment horizontal="right" readingOrder="0"/>
    </dxf>
    <dxf>
      <alignment horizontal="right" readingOrder="0"/>
    </dxf>
    <dxf>
      <alignment horizontal="righ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numFmt numFmtId="13" formatCode="0%"/>
    </dxf>
    <dxf>
      <alignment horizontal="right" readingOrder="0"/>
    </dxf>
    <dxf>
      <alignment horizontal="right" readingOrder="0"/>
    </dxf>
    <dxf>
      <alignment horizontal="right" readingOrder="0"/>
    </dxf>
    <dxf>
      <alignment horizontal="right" readingOrder="0"/>
    </dxf>
    <dxf>
      <alignment horizontal="righ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numFmt numFmtId="13" formatCode="0%"/>
    </dxf>
    <dxf>
      <alignment horizontal="right" readingOrder="0"/>
    </dxf>
    <dxf>
      <alignment horizontal="right" readingOrder="0"/>
    </dxf>
    <dxf>
      <alignment horizontal="right" readingOrder="0"/>
    </dxf>
    <dxf>
      <alignment horizontal="right" readingOrder="0"/>
    </dxf>
    <dxf>
      <alignment horizontal="right" readingOrder="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2" formatCode="&quot;$&quot;#,##0.00;[Red]\-&quot;$&quot;#,##0.00"/>
    </dxf>
    <dxf>
      <numFmt numFmtId="164" formatCode="_-* #,##0_-;\-* #,##0_-;_-* &quot;-&quot;??_-;_-@_-"/>
    </dxf>
    <dxf>
      <numFmt numFmtId="166" formatCode="_-* #,##0.0_-;\-* #,##0.0_-;_-* &quot;-&quot;??_-;_-@_-"/>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_-* #,##0_-;\-* #,##0_-;_-* &quot;-&quot;??_-;_-@_-"/>
      <alignment horizontal="center" vertical="bottom" textRotation="0" wrapText="0" indent="0" justifyLastLine="0" shrinkToFit="0" readingOrder="0"/>
    </dxf>
    <dxf>
      <numFmt numFmtId="21" formatCode="d\-mmm"/>
      <alignment horizontal="center" vertical="bottom" textRotation="0" wrapText="0" indent="0" justifyLastLine="0" shrinkToFit="0" readingOrder="0"/>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ill>
        <patternFill>
          <bgColor theme="4"/>
        </patternFill>
      </fill>
      <border diagonalUp="0" diagonalDown="0">
        <left style="thin">
          <color auto="1"/>
        </left>
        <right style="thin">
          <color auto="1"/>
        </right>
        <top/>
        <bottom style="thin">
          <color auto="1"/>
        </bottom>
        <vertical/>
        <horizontal/>
      </border>
    </dxf>
    <dxf>
      <fill>
        <patternFill>
          <bgColor theme="8"/>
        </patternFill>
      </fill>
      <border diagonalUp="0" diagonalDown="0">
        <left style="medium">
          <color auto="1"/>
        </left>
        <right style="medium">
          <color auto="1"/>
        </right>
        <top style="medium">
          <color auto="1"/>
        </top>
        <bottom style="medium">
          <color auto="1"/>
        </bottom>
        <vertical/>
        <horizontal/>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border>
        <left style="thin">
          <color theme="0" tint="-0.249977111117893"/>
        </left>
        <right style="thin">
          <color theme="0" tint="-0.249977111117893"/>
        </right>
      </border>
    </dxf>
    <dxf>
      <font>
        <b/>
        <i val="0"/>
      </font>
      <fill>
        <patternFill>
          <bgColor rgb="FFFFC000"/>
        </patternFill>
      </fill>
    </dxf>
    <dxf>
      <font>
        <b/>
        <i val="0"/>
        <color auto="1"/>
      </font>
      <fill>
        <patternFill patternType="solid">
          <fgColor theme="4" tint="0.79992065187536243"/>
          <bgColor theme="0" tint="-0.24994659260841701"/>
        </patternFill>
      </fill>
      <border>
        <top style="thin">
          <color theme="4" tint="0.39997558519241921"/>
        </top>
      </border>
    </dxf>
    <dxf>
      <font>
        <color theme="0"/>
      </font>
      <fill>
        <patternFill patternType="solid">
          <fgColor theme="4" tint="0.79995117038483843"/>
          <bgColor theme="1" tint="0.499984740745262"/>
        </patternFill>
      </fill>
      <border>
        <bottom style="thin">
          <color theme="4" tint="0.39997558519241921"/>
        </bottom>
      </border>
    </dxf>
    <dxf>
      <border>
        <left style="double">
          <color auto="1"/>
        </left>
        <right style="double">
          <color auto="1"/>
        </right>
        <top style="double">
          <color auto="1"/>
        </top>
        <bottom style="double">
          <color auto="1"/>
        </bottom>
        <vertical style="dotted">
          <color auto="1"/>
        </vertical>
        <horizontal style="dotted">
          <color auto="1"/>
        </horizontal>
      </border>
    </dxf>
  </dxfs>
  <tableStyles count="1" defaultTableStyle="TableStyleMedium2" defaultPivotStyle="PivotStyleLight16">
    <tableStyle name="Stats" table="0" count="11">
      <tableStyleElement type="wholeTable" dxfId="350"/>
      <tableStyleElement type="headerRow" dxfId="349"/>
      <tableStyleElement type="totalRow" dxfId="348"/>
      <tableStyleElement type="firstColumn" dxfId="347"/>
      <tableStyleElement type="firstColumnStripe" dxfId="346"/>
      <tableStyleElement type="firstSubtotalRow" dxfId="345"/>
      <tableStyleElement type="secondSubtotalRow" dxfId="344"/>
      <tableStyleElement type="firstColumnSubheading" dxfId="343"/>
      <tableStyleElement type="secondColumnSubheading" dxfId="342"/>
      <tableStyleElement type="pageFieldLabels" dxfId="341"/>
      <tableStyleElement type="pageFieldValues" dxfId="34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4.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5.xml"/><Relationship Id="rId10" Type="http://schemas.microsoft.com/office/2007/relationships/slicerCache" Target="slicerCaches/slicerCache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theme" Target="theme/theme1.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[Skat Statistik 2018 Singapore 3 - Online.xlsm]Graph!PivotTable7</c:name>
    <c:fmtId val="2"/>
  </c:pivotSource>
  <c:chart>
    <c:autoTitleDeleted val="0"/>
    <c:pivotFmts>
      <c:pivotFmt>
        <c:idx val="0"/>
      </c:pivotFmt>
      <c:pivotFmt>
        <c:idx val="1"/>
      </c:pivotFmt>
      <c:pivotFmt>
        <c:idx val="2"/>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s>
    <c:view3D>
      <c:rotX val="0"/>
      <c:hPercent val="100"/>
      <c:rotY val="0"/>
      <c:depthPercent val="10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Graph!$B$1:$B$2</c:f>
              <c:strCache>
                <c:ptCount val="1"/>
                <c:pt idx="0">
                  <c:v>Miki</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Ref>
              <c:f>Graph!$A$3:$A$8</c:f>
              <c:strCache>
                <c:ptCount val="5"/>
                <c:pt idx="0">
                  <c:v>14/7/2018</c:v>
                </c:pt>
                <c:pt idx="1">
                  <c:v>11/8/2018</c:v>
                </c:pt>
                <c:pt idx="2">
                  <c:v>2/9/2018</c:v>
                </c:pt>
                <c:pt idx="3">
                  <c:v>6/10/2018</c:v>
                </c:pt>
                <c:pt idx="4">
                  <c:v>7/10/2018</c:v>
                </c:pt>
              </c:strCache>
            </c:strRef>
          </c:cat>
          <c:val>
            <c:numRef>
              <c:f>Graph!$B$3:$B$8</c:f>
              <c:numCache>
                <c:formatCode>#,##0_ ;[Red]\-#,##0\ </c:formatCode>
                <c:ptCount val="5"/>
                <c:pt idx="0">
                  <c:v>653</c:v>
                </c:pt>
                <c:pt idx="1">
                  <c:v>599</c:v>
                </c:pt>
                <c:pt idx="2">
                  <c:v>1986</c:v>
                </c:pt>
                <c:pt idx="3">
                  <c:v>2801</c:v>
                </c:pt>
                <c:pt idx="4">
                  <c:v>3261</c:v>
                </c:pt>
              </c:numCache>
            </c:numRef>
          </c:val>
          <c:smooth val="0"/>
          <c:extLst>
            <c:ext xmlns:c16="http://schemas.microsoft.com/office/drawing/2014/chart" uri="{C3380CC4-5D6E-409C-BE32-E72D297353CC}">
              <c16:uniqueId val="{00000000-01D1-4D53-8ABA-8373A66C7DB9}"/>
            </c:ext>
          </c:extLst>
        </c:ser>
        <c:ser>
          <c:idx val="1"/>
          <c:order val="1"/>
          <c:tx>
            <c:strRef>
              <c:f>Graph!$C$1:$C$2</c:f>
              <c:strCache>
                <c:ptCount val="1"/>
                <c:pt idx="0">
                  <c:v>Bernd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Ref>
              <c:f>Graph!$A$3:$A$8</c:f>
              <c:strCache>
                <c:ptCount val="5"/>
                <c:pt idx="0">
                  <c:v>14/7/2018</c:v>
                </c:pt>
                <c:pt idx="1">
                  <c:v>11/8/2018</c:v>
                </c:pt>
                <c:pt idx="2">
                  <c:v>2/9/2018</c:v>
                </c:pt>
                <c:pt idx="3">
                  <c:v>6/10/2018</c:v>
                </c:pt>
                <c:pt idx="4">
                  <c:v>7/10/2018</c:v>
                </c:pt>
              </c:strCache>
            </c:strRef>
          </c:cat>
          <c:val>
            <c:numRef>
              <c:f>Graph!$C$3:$C$8</c:f>
              <c:numCache>
                <c:formatCode>#,##0_ ;[Red]\-#,##0\ </c:formatCode>
                <c:ptCount val="5"/>
                <c:pt idx="0">
                  <c:v>966</c:v>
                </c:pt>
                <c:pt idx="1">
                  <c:v>2163</c:v>
                </c:pt>
                <c:pt idx="2">
                  <c:v>3369</c:v>
                </c:pt>
                <c:pt idx="3">
                  <c:v>4393</c:v>
                </c:pt>
                <c:pt idx="4">
                  <c:v>5283</c:v>
                </c:pt>
              </c:numCache>
            </c:numRef>
          </c:val>
          <c:smooth val="0"/>
          <c:extLst>
            <c:ext xmlns:c16="http://schemas.microsoft.com/office/drawing/2014/chart" uri="{C3380CC4-5D6E-409C-BE32-E72D297353CC}">
              <c16:uniqueId val="{00000001-01D1-4D53-8ABA-8373A66C7DB9}"/>
            </c:ext>
          </c:extLst>
        </c:ser>
        <c:ser>
          <c:idx val="2"/>
          <c:order val="2"/>
          <c:tx>
            <c:strRef>
              <c:f>Graph!$D$1:$D$2</c:f>
              <c:strCache>
                <c:ptCount val="1"/>
                <c:pt idx="0">
                  <c:v>Leif</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Ref>
              <c:f>Graph!$A$3:$A$8</c:f>
              <c:strCache>
                <c:ptCount val="5"/>
                <c:pt idx="0">
                  <c:v>14/7/2018</c:v>
                </c:pt>
                <c:pt idx="1">
                  <c:v>11/8/2018</c:v>
                </c:pt>
                <c:pt idx="2">
                  <c:v>2/9/2018</c:v>
                </c:pt>
                <c:pt idx="3">
                  <c:v>6/10/2018</c:v>
                </c:pt>
                <c:pt idx="4">
                  <c:v>7/10/2018</c:v>
                </c:pt>
              </c:strCache>
            </c:strRef>
          </c:cat>
          <c:val>
            <c:numRef>
              <c:f>Graph!$D$3:$D$8</c:f>
              <c:numCache>
                <c:formatCode>#,##0_ ;[Red]\-#,##0\ </c:formatCode>
                <c:ptCount val="5"/>
                <c:pt idx="0">
                  <c:v>-69</c:v>
                </c:pt>
                <c:pt idx="1">
                  <c:v>1095</c:v>
                </c:pt>
                <c:pt idx="2">
                  <c:v>3019</c:v>
                </c:pt>
                <c:pt idx="3">
                  <c:v>3885</c:v>
                </c:pt>
                <c:pt idx="4">
                  <c:v>4507</c:v>
                </c:pt>
              </c:numCache>
            </c:numRef>
          </c:val>
          <c:smooth val="0"/>
          <c:extLst>
            <c:ext xmlns:c16="http://schemas.microsoft.com/office/drawing/2014/chart" uri="{C3380CC4-5D6E-409C-BE32-E72D297353CC}">
              <c16:uniqueId val="{00000002-01D1-4D53-8ABA-8373A66C7DB9}"/>
            </c:ext>
          </c:extLst>
        </c:ser>
        <c:dLbls>
          <c:showLegendKey val="0"/>
          <c:showVal val="0"/>
          <c:showCatName val="0"/>
          <c:showSerName val="0"/>
          <c:showPercent val="0"/>
          <c:showBubbleSize val="0"/>
        </c:dLbls>
        <c:axId val="1390141888"/>
        <c:axId val="2120631776"/>
        <c:axId val="1397170544"/>
      </c:line3DChart>
      <c:catAx>
        <c:axId val="1390141888"/>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20631776"/>
        <c:crosses val="autoZero"/>
        <c:auto val="1"/>
        <c:lblAlgn val="ctr"/>
        <c:lblOffset val="100"/>
        <c:noMultiLvlLbl val="0"/>
      </c:catAx>
      <c:valAx>
        <c:axId val="2120631776"/>
        <c:scaling>
          <c:orientation val="minMax"/>
        </c:scaling>
        <c:delete val="0"/>
        <c:axPos val="l"/>
        <c:majorGridlines>
          <c:spPr>
            <a:ln w="9525" cap="flat" cmpd="sng" algn="ctr">
              <a:solidFill>
                <a:schemeClr val="dk1">
                  <a:lumMod val="50000"/>
                  <a:lumOff val="50000"/>
                </a:schemeClr>
              </a:solidFill>
              <a:round/>
            </a:ln>
            <a:effectLst/>
          </c:spPr>
        </c:majorGridlines>
        <c:numFmt formatCode="#,##0_ ;[Red]\-#,##0\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90141888"/>
        <c:crosses val="autoZero"/>
        <c:crossBetween val="between"/>
      </c:valAx>
      <c:serAx>
        <c:axId val="1397170544"/>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20631776"/>
        <c:crosses val="autoZero"/>
      </c:ser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76199</xdr:colOff>
      <xdr:row>0</xdr:row>
      <xdr:rowOff>38100</xdr:rowOff>
    </xdr:from>
    <xdr:to>
      <xdr:col>3</xdr:col>
      <xdr:colOff>0</xdr:colOff>
      <xdr:row>0</xdr:row>
      <xdr:rowOff>1219200</xdr:rowOff>
    </xdr:to>
    <xdr:grpSp>
      <xdr:nvGrpSpPr>
        <xdr:cNvPr id="4" name="Group 3"/>
        <xdr:cNvGrpSpPr/>
      </xdr:nvGrpSpPr>
      <xdr:grpSpPr>
        <a:xfrm>
          <a:off x="76199" y="38100"/>
          <a:ext cx="1743076" cy="1181100"/>
          <a:chOff x="8467724" y="238125"/>
          <a:chExt cx="2305051" cy="2543175"/>
        </a:xfrm>
      </xdr:grpSpPr>
      <mc:AlternateContent xmlns:mc="http://schemas.openxmlformats.org/markup-compatibility/2006" xmlns:sle15="http://schemas.microsoft.com/office/drawing/2012/slicer">
        <mc:Choice Requires="sle15">
          <xdr:graphicFrame macro="">
            <xdr:nvGraphicFramePr>
              <xdr:cNvPr id="2" name="Datum"/>
              <xdr:cNvGraphicFramePr/>
            </xdr:nvGraphicFramePr>
            <xdr:xfrm>
              <a:off x="8467724" y="257175"/>
              <a:ext cx="1533525" cy="2524125"/>
            </xdr:xfrm>
            <a:graphic>
              <a:graphicData uri="http://schemas.microsoft.com/office/drawing/2010/slicer">
                <sle:slicer xmlns:sle="http://schemas.microsoft.com/office/drawing/2010/slicer" name="Datum"/>
              </a:graphicData>
            </a:graphic>
          </xdr:graphicFrame>
        </mc:Choice>
        <mc:Fallback xmlns="">
          <xdr:sp macro="" textlink="">
            <xdr:nvSpPr>
              <xdr:cNvPr id="0" name=""/>
              <xdr:cNvSpPr>
                <a:spLocks noTextEdit="1"/>
              </xdr:cNvSpPr>
            </xdr:nvSpPr>
            <xdr:spPr>
              <a:xfrm>
                <a:off x="76199" y="46947"/>
                <a:ext cx="1685610" cy="1172253"/>
              </a:xfrm>
              <a:prstGeom prst="rect">
                <a:avLst/>
              </a:prstGeom>
              <a:solidFill>
                <a:prstClr val="white"/>
              </a:solidFill>
              <a:ln w="1">
                <a:solidFill>
                  <a:prstClr val="green"/>
                </a:solidFill>
              </a:ln>
            </xdr:spPr>
            <xdr:txBody>
              <a:bodyPr vertOverflow="clip" horzOverflow="clip"/>
              <a:lstStyle/>
              <a:p>
                <a:r>
                  <a:rPr lang="en-SG"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Runde"/>
              <xdr:cNvGraphicFramePr/>
            </xdr:nvGraphicFramePr>
            <xdr:xfrm>
              <a:off x="10106025" y="238125"/>
              <a:ext cx="666750" cy="2524125"/>
            </xdr:xfrm>
            <a:graphic>
              <a:graphicData uri="http://schemas.microsoft.com/office/drawing/2010/slicer">
                <sle:slicer xmlns:sle="http://schemas.microsoft.com/office/drawing/2010/slicer" name="Runde"/>
              </a:graphicData>
            </a:graphic>
          </xdr:graphicFrame>
        </mc:Choice>
        <mc:Fallback xmlns="">
          <xdr:sp macro="" textlink="">
            <xdr:nvSpPr>
              <xdr:cNvPr id="0" name=""/>
              <xdr:cNvSpPr>
                <a:spLocks noTextEdit="1"/>
              </xdr:cNvSpPr>
            </xdr:nvSpPr>
            <xdr:spPr>
              <a:xfrm>
                <a:off x="1876976" y="38100"/>
                <a:ext cx="732874" cy="1172253"/>
              </a:xfrm>
              <a:prstGeom prst="rect">
                <a:avLst/>
              </a:prstGeom>
              <a:solidFill>
                <a:prstClr val="white"/>
              </a:solidFill>
              <a:ln w="1">
                <a:solidFill>
                  <a:prstClr val="green"/>
                </a:solidFill>
              </a:ln>
            </xdr:spPr>
            <xdr:txBody>
              <a:bodyPr vertOverflow="clip" horzOverflow="clip"/>
              <a:lstStyle/>
              <a:p>
                <a:r>
                  <a:rPr lang="en-SG"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55664</xdr:colOff>
      <xdr:row>0</xdr:row>
      <xdr:rowOff>57150</xdr:rowOff>
    </xdr:from>
    <xdr:to>
      <xdr:col>0</xdr:col>
      <xdr:colOff>1695451</xdr:colOff>
      <xdr:row>3</xdr:row>
      <xdr:rowOff>714375</xdr:rowOff>
    </xdr:to>
    <xdr:grpSp>
      <xdr:nvGrpSpPr>
        <xdr:cNvPr id="7" name="Group 6"/>
        <xdr:cNvGrpSpPr/>
      </xdr:nvGrpSpPr>
      <xdr:grpSpPr>
        <a:xfrm>
          <a:off x="55664" y="57150"/>
          <a:ext cx="1639787" cy="1228725"/>
          <a:chOff x="7839075" y="400050"/>
          <a:chExt cx="1943101" cy="1362075"/>
        </a:xfrm>
      </xdr:grpSpPr>
      <mc:AlternateContent xmlns:mc="http://schemas.openxmlformats.org/markup-compatibility/2006" xmlns:a14="http://schemas.microsoft.com/office/drawing/2010/main">
        <mc:Choice Requires="a14">
          <xdr:graphicFrame macro="">
            <xdr:nvGraphicFramePr>
              <xdr:cNvPr id="4" name="Datum 1"/>
              <xdr:cNvGraphicFramePr/>
            </xdr:nvGraphicFramePr>
            <xdr:xfrm>
              <a:off x="7839075" y="400050"/>
              <a:ext cx="1285876" cy="1362075"/>
            </xdr:xfrm>
            <a:graphic>
              <a:graphicData uri="http://schemas.microsoft.com/office/drawing/2010/slicer">
                <sle:slicer xmlns:sle="http://schemas.microsoft.com/office/drawing/2010/slicer" name="Datum 1"/>
              </a:graphicData>
            </a:graphic>
          </xdr:graphicFrame>
        </mc:Choice>
        <mc:Fallback xmlns="">
          <xdr:sp macro="" textlink="">
            <xdr:nvSpPr>
              <xdr:cNvPr id="0" name=""/>
              <xdr:cNvSpPr>
                <a:spLocks noTextEdit="1"/>
              </xdr:cNvSpPr>
            </xdr:nvSpPr>
            <xdr:spPr>
              <a:xfrm>
                <a:off x="55664" y="57150"/>
                <a:ext cx="1085153" cy="122872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Runde 1"/>
              <xdr:cNvGraphicFramePr/>
            </xdr:nvGraphicFramePr>
            <xdr:xfrm>
              <a:off x="9182100" y="400050"/>
              <a:ext cx="600076" cy="1351515"/>
            </xdr:xfrm>
            <a:graphic>
              <a:graphicData uri="http://schemas.microsoft.com/office/drawing/2010/slicer">
                <sle:slicer xmlns:sle="http://schemas.microsoft.com/office/drawing/2010/slicer" name="Runde 1"/>
              </a:graphicData>
            </a:graphic>
          </xdr:graphicFrame>
        </mc:Choice>
        <mc:Fallback xmlns="">
          <xdr:sp macro="" textlink="">
            <xdr:nvSpPr>
              <xdr:cNvPr id="0" name=""/>
              <xdr:cNvSpPr>
                <a:spLocks noTextEdit="1"/>
              </xdr:cNvSpPr>
            </xdr:nvSpPr>
            <xdr:spPr>
              <a:xfrm>
                <a:off x="1189046" y="57150"/>
                <a:ext cx="506405" cy="1219199"/>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6</xdr:col>
      <xdr:colOff>9525</xdr:colOff>
      <xdr:row>0</xdr:row>
      <xdr:rowOff>142875</xdr:rowOff>
    </xdr:from>
    <xdr:to>
      <xdr:col>7</xdr:col>
      <xdr:colOff>200025</xdr:colOff>
      <xdr:row>2</xdr:row>
      <xdr:rowOff>28575</xdr:rowOff>
    </xdr:to>
    <xdr:sp macro="[0]!Refresh_Spiellisten" textlink="">
      <xdr:nvSpPr>
        <xdr:cNvPr id="2" name="Rounded Rectangle 1"/>
        <xdr:cNvSpPr/>
      </xdr:nvSpPr>
      <xdr:spPr>
        <a:xfrm>
          <a:off x="4314825" y="142875"/>
          <a:ext cx="7143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100"/>
            <a:t>Reload</a:t>
          </a:r>
        </a:p>
      </xdr:txBody>
    </xdr:sp>
    <xdr:clientData/>
  </xdr:twoCellAnchor>
  <xdr:twoCellAnchor>
    <xdr:from>
      <xdr:col>12</xdr:col>
      <xdr:colOff>447675</xdr:colOff>
      <xdr:row>0</xdr:row>
      <xdr:rowOff>95250</xdr:rowOff>
    </xdr:from>
    <xdr:to>
      <xdr:col>18</xdr:col>
      <xdr:colOff>600075</xdr:colOff>
      <xdr:row>1</xdr:row>
      <xdr:rowOff>171450</xdr:rowOff>
    </xdr:to>
    <xdr:sp macro="[0]!Reformat_Spiellisten" textlink="">
      <xdr:nvSpPr>
        <xdr:cNvPr id="8" name="Rounded Rectangle 7"/>
        <xdr:cNvSpPr/>
      </xdr:nvSpPr>
      <xdr:spPr>
        <a:xfrm>
          <a:off x="7629525" y="95250"/>
          <a:ext cx="1828800"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100"/>
            <a:t>Format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38099</xdr:colOff>
      <xdr:row>0</xdr:row>
      <xdr:rowOff>66674</xdr:rowOff>
    </xdr:from>
    <xdr:to>
      <xdr:col>21</xdr:col>
      <xdr:colOff>200024</xdr:colOff>
      <xdr:row>25</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dmin" refreshedDate="42568.084528125" createdVersion="6" refreshedVersion="6" minRefreshableVersion="3" recordCount="600">
  <cacheSource type="external" connectionId="7"/>
  <cacheFields count="18">
    <cacheField name="Datum" numFmtId="0">
      <sharedItems containsSemiMixedTypes="0" containsNonDate="0" containsDate="1" containsString="0" minDate="2016-09-02T00:00:00" maxDate="2018-10-08T00:00:00" count="42">
        <d v="2018-07-14T00:00:00"/>
        <d v="2018-08-11T00:00:00"/>
        <d v="2018-09-02T00:00:00"/>
        <d v="2018-10-06T00:00:00"/>
        <d v="2018-10-07T00:00:00"/>
        <d v="2018-05-12T00:00:00" u="1"/>
        <d v="2018-09-13T00:00:00" u="1"/>
        <d v="2018-05-05T00:00:00" u="1"/>
        <d v="2018-09-06T00:00:00" u="1"/>
        <d v="2018-06-03T00:00:00" u="1"/>
        <d v="2018-09-18T00:00:00" u="1"/>
        <d v="2018-09-11T00:00:00" u="1"/>
        <d v="2018-02-26T00:00:00" u="1"/>
        <d v="2018-03-31T00:00:00" u="1"/>
        <d v="2018-09-04T00:00:00" u="1"/>
        <d v="2017-10-28T00:00:00" u="1"/>
        <d v="2018-09-16T00:00:00" u="1"/>
        <d v="2017-11-26T00:00:00" u="1"/>
        <d v="2018-04-22T00:00:00" u="1"/>
        <d v="2018-09-09T00:00:00" u="1"/>
        <d v="2016-09-02T00:00:00" u="1"/>
        <d v="2017-11-12T00:00:00" u="1"/>
        <d v="2017-11-05T00:00:00" u="1"/>
        <d v="2017-12-10T00:00:00" u="1"/>
        <d v="2018-09-14T00:00:00" u="1"/>
        <d v="2018-09-07T00:00:00" u="1"/>
        <d v="2018-09-19T00:00:00" u="1"/>
        <d v="2017-10-17T00:00:00" u="1"/>
        <d v="2018-09-12T00:00:00" u="1"/>
        <d v="2018-09-05T00:00:00" u="1"/>
        <d v="2018-09-17T00:00:00" u="1"/>
        <d v="2018-01-27T00:00:00" u="1"/>
        <d v="2018-03-18T00:00:00" u="1"/>
        <d v="2018-09-10T00:00:00" u="1"/>
        <d v="2018-09-03T00:00:00" u="1"/>
        <d v="2018-01-13T00:00:00" u="1"/>
        <d v="2018-01-06T00:00:00" u="1"/>
        <d v="2018-09-15T00:00:00" u="1"/>
        <d v="2018-02-04T00:00:00" u="1"/>
        <d v="2018-09-08T00:00:00" u="1"/>
        <d v="2017-11-18T00:00:00" u="1"/>
        <d v="2017-12-16T00:00:00" u="1"/>
      </sharedItems>
    </cacheField>
    <cacheField name="Runde" numFmtId="0">
      <sharedItems containsSemiMixedTypes="0" containsString="0" containsNumber="1" containsInteger="1" minValue="1" maxValue="3" count="3">
        <n v="1"/>
        <n v="2"/>
        <n v="3"/>
      </sharedItems>
    </cacheField>
    <cacheField name="Spiel" numFmtId="0">
      <sharedItems containsSemiMixedTypes="0" containsString="0" containsNumber="1" containsInteger="1" minValue="1" maxValue="45" count="45">
        <n v="1"/>
        <n v="2"/>
        <n v="3"/>
        <n v="4"/>
        <n v="5"/>
        <n v="6"/>
        <n v="7"/>
        <n v="8"/>
        <n v="9"/>
        <n v="10"/>
        <n v="11"/>
        <n v="12"/>
        <n v="13"/>
        <n v="14"/>
        <n v="15"/>
        <n v="16"/>
        <n v="17"/>
        <n v="18"/>
        <n v="19"/>
        <n v="20"/>
        <n v="21"/>
        <n v="22"/>
        <n v="23"/>
        <n v="24"/>
        <n v="25"/>
        <n v="26"/>
        <n v="27"/>
        <n v="28"/>
        <n v="29"/>
        <n v="30"/>
        <n v="31"/>
        <n v="32"/>
        <n v="33"/>
        <n v="34"/>
        <n v="35"/>
        <n v="36"/>
        <n v="37"/>
        <n v="38"/>
        <n v="39"/>
        <n v="40"/>
        <n v="41"/>
        <n v="42"/>
        <n v="43"/>
        <n v="44" u="1"/>
        <n v="45" u="1"/>
      </sharedItems>
    </cacheField>
    <cacheField name="Grundwert" numFmtId="0">
      <sharedItems count="7">
        <s v="Grand"/>
        <s v="Pik"/>
        <s v="Null"/>
        <s v="Ramsch"/>
        <s v="Herz"/>
        <s v="Kreuz"/>
        <s v="Karo"/>
      </sharedItems>
    </cacheField>
    <cacheField name="Spitzen" numFmtId="0">
      <sharedItems containsSemiMixedTypes="0" containsString="0" containsNumber="1" containsInteger="1" minValue="-5" maxValue="5" count="11">
        <n v="4"/>
        <n v="3"/>
        <n v="0"/>
        <n v="-4"/>
        <n v="1"/>
        <n v="-1"/>
        <n v="2"/>
        <n v="-3"/>
        <n v="-2"/>
        <n v="5" u="1"/>
        <n v="-5" u="1"/>
      </sharedItems>
    </cacheField>
    <cacheField name="Gewinnstufe" numFmtId="0">
      <sharedItems count="9">
        <s v="Schneider"/>
        <s v="Einfach"/>
        <s v="Offen"/>
        <s v="Schneider Schwarz"/>
        <s v="Hand"/>
        <s v="Hand Schneider"/>
        <s v="Schwarz" u="1"/>
        <s v="Schneider ang. Schwarz" u="1"/>
        <s v="Hand Offen" u="1"/>
      </sharedItems>
    </cacheField>
    <cacheField name="Alleinspieler" numFmtId="0">
      <sharedItems count="3">
        <s v="Bernd"/>
        <s v="Leif"/>
        <s v="Miki"/>
      </sharedItems>
    </cacheField>
    <cacheField name="Status" numFmtId="0">
      <sharedItems count="2">
        <s v="G"/>
        <s v="V"/>
      </sharedItems>
    </cacheField>
    <cacheField name="Augen" numFmtId="0">
      <sharedItems containsString="0" containsBlank="1" containsNumber="1" containsInteger="1" minValue="0" maxValue="736"/>
    </cacheField>
    <cacheField name="Bockrunde" numFmtId="0">
      <sharedItems containsBlank="1" count="2">
        <m/>
        <s v="X"/>
      </sharedItems>
    </cacheField>
    <cacheField name="Kontra" numFmtId="0">
      <sharedItems containsBlank="1" count="2">
        <m/>
        <s v="X"/>
      </sharedItems>
    </cacheField>
    <cacheField name="Re" numFmtId="0">
      <sharedItems containsString="0" containsBlank="1" count="1">
        <m/>
      </sharedItems>
    </cacheField>
    <cacheField name="Check" numFmtId="0">
      <sharedItems count="2">
        <b v="1"/>
        <b v="0"/>
      </sharedItems>
    </cacheField>
    <cacheField name="Spielwert" numFmtId="0">
      <sharedItems containsSemiMixedTypes="0" containsString="0" containsNumber="1" containsInteger="1" minValue="18" maxValue="736"/>
    </cacheField>
    <cacheField name="Faktor" numFmtId="0">
      <sharedItems containsSemiMixedTypes="0" containsString="0" containsNumber="1" containsInteger="1" minValue="-4" maxValue="4" count="6">
        <n v="1"/>
        <n v="-1"/>
        <n v="-2"/>
        <n v="2"/>
        <n v="-4"/>
        <n v="4"/>
      </sharedItems>
    </cacheField>
    <cacheField name="Spieler" numFmtId="0">
      <sharedItems count="3">
        <s v="Bernd"/>
        <s v="Leif"/>
        <s v="Miki"/>
      </sharedItems>
    </cacheField>
    <cacheField name="Typ" numFmtId="0">
      <sharedItems count="2">
        <s v="Spielpunkte"/>
        <s v="Seeger-Fabian"/>
      </sharedItems>
    </cacheField>
    <cacheField name="Punkte" numFmtId="0">
      <sharedItems containsSemiMixedTypes="0" containsString="0" containsNumber="1" containsInteger="1" minValue="-736" maxValue="168"/>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dmin" refreshedDate="43380.776920370372" createdVersion="6" refreshedVersion="6" minRefreshableVersion="3" recordCount="368">
  <cacheSource type="external" connectionId="11"/>
  <cacheFields count="20">
    <cacheField name="Datum" numFmtId="0">
      <sharedItems containsSemiMixedTypes="0" containsNonDate="0" containsDate="1" containsString="0" minDate="2017-10-17T00:00:00" maxDate="2018-10-08T00:00:00" count="24">
        <d v="2018-07-14T00:00:00"/>
        <d v="2018-08-11T00:00:00"/>
        <d v="2018-09-02T00:00:00"/>
        <d v="2018-10-06T00:00:00"/>
        <d v="2018-10-07T00:00:00"/>
        <d v="2018-05-12T00:00:00" u="1"/>
        <d v="2018-05-05T00:00:00" u="1"/>
        <d v="2018-06-03T00:00:00" u="1"/>
        <d v="2018-02-26T00:00:00" u="1"/>
        <d v="2018-03-31T00:00:00" u="1"/>
        <d v="2017-10-28T00:00:00" u="1"/>
        <d v="2017-11-26T00:00:00" u="1"/>
        <d v="2018-04-22T00:00:00" u="1"/>
        <d v="2017-11-12T00:00:00" u="1"/>
        <d v="2017-11-05T00:00:00" u="1"/>
        <d v="2017-12-10T00:00:00" u="1"/>
        <d v="2017-10-17T00:00:00" u="1"/>
        <d v="2018-01-27T00:00:00" u="1"/>
        <d v="2018-03-18T00:00:00" u="1"/>
        <d v="2018-01-13T00:00:00" u="1"/>
        <d v="2018-01-06T00:00:00" u="1"/>
        <d v="2018-02-04T00:00:00" u="1"/>
        <d v="2017-11-18T00:00:00" u="1"/>
        <d v="2017-12-16T00:00:00" u="1"/>
      </sharedItems>
    </cacheField>
    <cacheField name="Runde" numFmtId="0">
      <sharedItems containsSemiMixedTypes="0" containsString="0" containsNumber="1" containsInteger="1" minValue="1" maxValue="3" count="3">
        <n v="1"/>
        <n v="2"/>
        <n v="3"/>
      </sharedItems>
    </cacheField>
    <cacheField name="Spiel" numFmtId="0">
      <sharedItems containsSemiMixedTypes="0" containsString="0" containsNumber="1" containsInteger="1" minValue="1" maxValue="43"/>
    </cacheField>
    <cacheField name="Grundwert" numFmtId="0">
      <sharedItems count="7">
        <s v="Grand"/>
        <s v="Pik"/>
        <s v="Null"/>
        <s v="Ramsch"/>
        <s v="Herz"/>
        <s v="Kreuz"/>
        <s v="Karo"/>
      </sharedItems>
    </cacheField>
    <cacheField name="Spitzen" numFmtId="0">
      <sharedItems containsSemiMixedTypes="0" containsString="0" containsNumber="1" containsInteger="1" minValue="-5" maxValue="72" count="12">
        <n v="4"/>
        <n v="3"/>
        <n v="0"/>
        <n v="-4"/>
        <n v="1"/>
        <n v="-1"/>
        <n v="2"/>
        <n v="-3"/>
        <n v="-2"/>
        <n v="5" u="1"/>
        <n v="-5" u="1"/>
        <n v="72" u="1"/>
      </sharedItems>
    </cacheField>
    <cacheField name="Gewinnstufe" numFmtId="0">
      <sharedItems count="6">
        <s v="Schneider"/>
        <s v="Einfach"/>
        <s v="Offen"/>
        <s v="Schneider Schwarz"/>
        <s v="Hand"/>
        <s v="Hand Schneider"/>
      </sharedItems>
    </cacheField>
    <cacheField name="Alleinspieler" numFmtId="0">
      <sharedItems count="3">
        <s v="Bernd"/>
        <s v="Leif"/>
        <s v="Miki"/>
      </sharedItems>
    </cacheField>
    <cacheField name="Status" numFmtId="0">
      <sharedItems count="2">
        <s v="G"/>
        <s v="V"/>
      </sharedItems>
    </cacheField>
    <cacheField name="Augen" numFmtId="0">
      <sharedItems containsString="0" containsBlank="1" containsNumber="1" containsInteger="1" minValue="0" maxValue="736"/>
    </cacheField>
    <cacheField name="Bockrunde" numFmtId="0">
      <sharedItems containsBlank="1" count="2">
        <m/>
        <s v="X"/>
      </sharedItems>
    </cacheField>
    <cacheField name="Kontra" numFmtId="0">
      <sharedItems containsBlank="1" count="2">
        <m/>
        <s v="X"/>
      </sharedItems>
    </cacheField>
    <cacheField name="Re" numFmtId="0">
      <sharedItems containsString="0" containsBlank="1" count="1">
        <m/>
      </sharedItems>
    </cacheField>
    <cacheField name="Check" numFmtId="0">
      <sharedItems count="2">
        <b v="1"/>
        <b v="0"/>
      </sharedItems>
    </cacheField>
    <cacheField name="Spielwert" numFmtId="0">
      <sharedItems containsSemiMixedTypes="0" containsString="0" containsNumber="1" containsInteger="1" minValue="18" maxValue="736"/>
    </cacheField>
    <cacheField name="Faktor" numFmtId="0">
      <sharedItems containsSemiMixedTypes="0" containsString="0" containsNumber="1" containsInteger="1" minValue="-4" maxValue="4" count="6">
        <n v="1"/>
        <n v="-1"/>
        <n v="-2"/>
        <n v="2"/>
        <n v="-4"/>
        <n v="4"/>
      </sharedItems>
    </cacheField>
    <cacheField name="Spieler" numFmtId="0">
      <sharedItems count="3">
        <s v="Bernd"/>
        <s v="Leif"/>
        <s v="Miki"/>
      </sharedItems>
    </cacheField>
    <cacheField name="Spielpunkte" numFmtId="0">
      <sharedItems containsSemiMixedTypes="0" containsString="0" containsNumber="1" containsInteger="1" minValue="-736" maxValue="168"/>
    </cacheField>
    <cacheField name="Seeger-Fabian" numFmtId="0">
      <sharedItems containsSemiMixedTypes="0" containsString="0" containsNumber="1" containsInteger="1" minValue="-50" maxValue="50" count="3">
        <n v="50"/>
        <n v="-50"/>
        <n v="40"/>
      </sharedItems>
    </cacheField>
    <cacheField name="Spieltyp" numFmtId="0">
      <sharedItems count="3">
        <s v="Alleinspiel"/>
        <s v="Ramsch"/>
        <s v="Gegenspiel"/>
      </sharedItems>
    </cacheField>
    <cacheField name="Spielbewertung" numFmtId="0">
      <sharedItems containsSemiMixedTypes="0" containsString="0" containsNumber="1" containsInteger="1" minValue="-786" maxValue="21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dmin" refreshedDate="43380.77698599537" createdVersion="6" refreshedVersion="6" minRefreshableVersion="3" recordCount="24">
  <cacheSource type="external" connectionId="3"/>
  <cacheFields count="6">
    <cacheField name="Datum" numFmtId="0">
      <sharedItems containsSemiMixedTypes="0" containsNonDate="0" containsDate="1" containsString="0" minDate="2017-10-17T00:00:00" maxDate="2018-10-08T00:00:00" count="24">
        <d v="2018-07-14T00:00:00"/>
        <d v="2018-08-11T00:00:00"/>
        <d v="2018-09-02T00:00:00"/>
        <d v="2018-10-06T00:00:00"/>
        <d v="2018-10-07T00:00:00"/>
        <d v="2018-05-12T00:00:00" u="1"/>
        <d v="2018-05-05T00:00:00" u="1"/>
        <d v="2018-06-03T00:00:00" u="1"/>
        <d v="2018-02-26T00:00:00" u="1"/>
        <d v="2018-03-31T00:00:00" u="1"/>
        <d v="2017-10-28T00:00:00" u="1"/>
        <d v="2017-11-26T00:00:00" u="1"/>
        <d v="2018-04-22T00:00:00" u="1"/>
        <d v="2017-11-12T00:00:00" u="1"/>
        <d v="2017-11-05T00:00:00" u="1"/>
        <d v="2017-12-10T00:00:00" u="1"/>
        <d v="2017-10-17T00:00:00" u="1"/>
        <d v="2018-01-27T00:00:00" u="1"/>
        <d v="2018-03-18T00:00:00" u="1"/>
        <d v="2018-01-13T00:00:00" u="1"/>
        <d v="2018-01-06T00:00:00" u="1"/>
        <d v="2018-02-04T00:00:00" u="1"/>
        <d v="2017-11-18T00:00:00" u="1"/>
        <d v="2017-12-16T00:00:00" u="1"/>
      </sharedItems>
    </cacheField>
    <cacheField name="Runde" numFmtId="0">
      <sharedItems containsSemiMixedTypes="0" containsString="0" containsNumber="1" containsInteger="1" minValue="1" maxValue="3" count="3">
        <n v="1"/>
        <n v="2"/>
        <n v="3"/>
      </sharedItems>
    </cacheField>
    <cacheField name="Spieler" numFmtId="0">
      <sharedItems count="3">
        <s v="Bernd"/>
        <s v="Leif"/>
        <s v="Miki"/>
      </sharedItems>
    </cacheField>
    <cacheField name="GeldPunkte" numFmtId="0">
      <sharedItems containsSemiMixedTypes="0" containsString="0" containsNumber="1" containsInteger="1" minValue="-2279" maxValue="1540" count="23">
        <n v="1348"/>
        <n v="-1757"/>
        <n v="409"/>
        <n v="-190"/>
        <n v="-256"/>
        <n v="446"/>
        <n v="-2279"/>
        <n v="739"/>
        <n v="1540"/>
        <n v="1514"/>
        <n v="-757"/>
        <n v="466"/>
        <n v="-356"/>
        <n v="-110"/>
        <n v="-65"/>
        <n v="-32"/>
        <n v="97"/>
        <n v="-107"/>
        <n v="-260"/>
        <n v="367"/>
        <n v="-592"/>
        <n v="698"/>
        <n v="-106"/>
      </sharedItems>
    </cacheField>
    <cacheField name="Adjustment" numFmtId="0">
      <sharedItems containsSemiMixedTypes="0" containsString="0" containsNumber="1" minValue="0.87757788503729706" maxValue="1" count="2">
        <n v="1"/>
        <n v="0.87757788503729706"/>
      </sharedItems>
    </cacheField>
    <cacheField name="Geldbetrag" numFmtId="0">
      <sharedItems containsSemiMixedTypes="0" containsString="0" containsNumber="1" minValue="-100" maxValue="75.7" count="23">
        <n v="67.400000000000006"/>
        <n v="-87.850000000000009"/>
        <n v="20.450000000000003"/>
        <n v="-9.5"/>
        <n v="-12.8"/>
        <n v="22.3"/>
        <n v="-100"/>
        <n v="32.426502852128131"/>
        <n v="67.573497147871876"/>
        <n v="75.7"/>
        <n v="-37.85"/>
        <n v="23.3"/>
        <n v="-17.8"/>
        <n v="-5.5"/>
        <n v="-3.25"/>
        <n v="-1.6"/>
        <n v="4.8500000000000005"/>
        <n v="-5.3500000000000005"/>
        <n v="-13"/>
        <n v="18.350000000000001"/>
        <n v="-29.6"/>
        <n v="34.9"/>
        <n v="-5.3000000000000007"/>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00">
  <r>
    <x v="0"/>
    <x v="0"/>
    <x v="0"/>
    <x v="0"/>
    <x v="0"/>
    <x v="0"/>
    <x v="0"/>
    <x v="0"/>
    <n v="102"/>
    <x v="0"/>
    <x v="0"/>
    <x v="0"/>
    <x v="0"/>
    <n v="144"/>
    <x v="0"/>
    <x v="0"/>
    <x v="0"/>
    <n v="144"/>
  </r>
  <r>
    <x v="0"/>
    <x v="0"/>
    <x v="0"/>
    <x v="0"/>
    <x v="0"/>
    <x v="0"/>
    <x v="0"/>
    <x v="0"/>
    <n v="102"/>
    <x v="0"/>
    <x v="0"/>
    <x v="0"/>
    <x v="0"/>
    <n v="144"/>
    <x v="0"/>
    <x v="0"/>
    <x v="1"/>
    <n v="50"/>
  </r>
  <r>
    <x v="0"/>
    <x v="0"/>
    <x v="1"/>
    <x v="1"/>
    <x v="1"/>
    <x v="0"/>
    <x v="0"/>
    <x v="0"/>
    <n v="101"/>
    <x v="0"/>
    <x v="0"/>
    <x v="0"/>
    <x v="0"/>
    <n v="55"/>
    <x v="0"/>
    <x v="0"/>
    <x v="0"/>
    <n v="55"/>
  </r>
  <r>
    <x v="0"/>
    <x v="0"/>
    <x v="1"/>
    <x v="1"/>
    <x v="1"/>
    <x v="0"/>
    <x v="0"/>
    <x v="0"/>
    <n v="101"/>
    <x v="0"/>
    <x v="0"/>
    <x v="0"/>
    <x v="0"/>
    <n v="55"/>
    <x v="0"/>
    <x v="0"/>
    <x v="1"/>
    <n v="50"/>
  </r>
  <r>
    <x v="0"/>
    <x v="0"/>
    <x v="2"/>
    <x v="2"/>
    <x v="2"/>
    <x v="1"/>
    <x v="0"/>
    <x v="0"/>
    <n v="0"/>
    <x v="0"/>
    <x v="0"/>
    <x v="0"/>
    <x v="0"/>
    <n v="23"/>
    <x v="0"/>
    <x v="0"/>
    <x v="0"/>
    <n v="23"/>
  </r>
  <r>
    <x v="0"/>
    <x v="0"/>
    <x v="2"/>
    <x v="2"/>
    <x v="2"/>
    <x v="1"/>
    <x v="0"/>
    <x v="0"/>
    <n v="0"/>
    <x v="0"/>
    <x v="0"/>
    <x v="0"/>
    <x v="0"/>
    <n v="23"/>
    <x v="0"/>
    <x v="0"/>
    <x v="1"/>
    <n v="50"/>
  </r>
  <r>
    <x v="0"/>
    <x v="0"/>
    <x v="3"/>
    <x v="0"/>
    <x v="0"/>
    <x v="1"/>
    <x v="0"/>
    <x v="0"/>
    <n v="68"/>
    <x v="0"/>
    <x v="0"/>
    <x v="0"/>
    <x v="0"/>
    <n v="120"/>
    <x v="0"/>
    <x v="0"/>
    <x v="0"/>
    <n v="120"/>
  </r>
  <r>
    <x v="0"/>
    <x v="0"/>
    <x v="3"/>
    <x v="0"/>
    <x v="0"/>
    <x v="1"/>
    <x v="0"/>
    <x v="0"/>
    <n v="68"/>
    <x v="0"/>
    <x v="0"/>
    <x v="0"/>
    <x v="0"/>
    <n v="120"/>
    <x v="0"/>
    <x v="0"/>
    <x v="1"/>
    <n v="50"/>
  </r>
  <r>
    <x v="0"/>
    <x v="0"/>
    <x v="4"/>
    <x v="3"/>
    <x v="2"/>
    <x v="1"/>
    <x v="0"/>
    <x v="1"/>
    <n v="69"/>
    <x v="0"/>
    <x v="0"/>
    <x v="0"/>
    <x v="0"/>
    <n v="69"/>
    <x v="1"/>
    <x v="0"/>
    <x v="0"/>
    <n v="-69"/>
  </r>
  <r>
    <x v="0"/>
    <x v="0"/>
    <x v="4"/>
    <x v="3"/>
    <x v="2"/>
    <x v="1"/>
    <x v="0"/>
    <x v="1"/>
    <n v="69"/>
    <x v="0"/>
    <x v="0"/>
    <x v="0"/>
    <x v="0"/>
    <n v="69"/>
    <x v="1"/>
    <x v="0"/>
    <x v="1"/>
    <n v="-50"/>
  </r>
  <r>
    <x v="0"/>
    <x v="0"/>
    <x v="4"/>
    <x v="3"/>
    <x v="2"/>
    <x v="1"/>
    <x v="0"/>
    <x v="1"/>
    <n v="69"/>
    <x v="0"/>
    <x v="0"/>
    <x v="0"/>
    <x v="0"/>
    <n v="69"/>
    <x v="1"/>
    <x v="1"/>
    <x v="1"/>
    <n v="40"/>
  </r>
  <r>
    <x v="0"/>
    <x v="0"/>
    <x v="4"/>
    <x v="3"/>
    <x v="2"/>
    <x v="1"/>
    <x v="0"/>
    <x v="1"/>
    <n v="69"/>
    <x v="0"/>
    <x v="0"/>
    <x v="0"/>
    <x v="0"/>
    <n v="69"/>
    <x v="1"/>
    <x v="2"/>
    <x v="1"/>
    <n v="40"/>
  </r>
  <r>
    <x v="0"/>
    <x v="0"/>
    <x v="5"/>
    <x v="2"/>
    <x v="2"/>
    <x v="2"/>
    <x v="0"/>
    <x v="0"/>
    <n v="0"/>
    <x v="0"/>
    <x v="0"/>
    <x v="0"/>
    <x v="0"/>
    <n v="46"/>
    <x v="0"/>
    <x v="0"/>
    <x v="0"/>
    <n v="46"/>
  </r>
  <r>
    <x v="0"/>
    <x v="0"/>
    <x v="5"/>
    <x v="2"/>
    <x v="2"/>
    <x v="2"/>
    <x v="0"/>
    <x v="0"/>
    <n v="0"/>
    <x v="0"/>
    <x v="0"/>
    <x v="0"/>
    <x v="0"/>
    <n v="46"/>
    <x v="0"/>
    <x v="0"/>
    <x v="1"/>
    <n v="50"/>
  </r>
  <r>
    <x v="0"/>
    <x v="0"/>
    <x v="6"/>
    <x v="2"/>
    <x v="2"/>
    <x v="1"/>
    <x v="1"/>
    <x v="1"/>
    <n v="0"/>
    <x v="0"/>
    <x v="0"/>
    <x v="0"/>
    <x v="0"/>
    <n v="23"/>
    <x v="2"/>
    <x v="0"/>
    <x v="1"/>
    <n v="40"/>
  </r>
  <r>
    <x v="0"/>
    <x v="0"/>
    <x v="6"/>
    <x v="2"/>
    <x v="2"/>
    <x v="1"/>
    <x v="1"/>
    <x v="1"/>
    <n v="0"/>
    <x v="0"/>
    <x v="0"/>
    <x v="0"/>
    <x v="0"/>
    <n v="23"/>
    <x v="2"/>
    <x v="1"/>
    <x v="0"/>
    <n v="-46"/>
  </r>
  <r>
    <x v="0"/>
    <x v="0"/>
    <x v="6"/>
    <x v="2"/>
    <x v="2"/>
    <x v="1"/>
    <x v="1"/>
    <x v="1"/>
    <n v="0"/>
    <x v="0"/>
    <x v="0"/>
    <x v="0"/>
    <x v="0"/>
    <n v="23"/>
    <x v="2"/>
    <x v="1"/>
    <x v="1"/>
    <n v="-50"/>
  </r>
  <r>
    <x v="0"/>
    <x v="0"/>
    <x v="6"/>
    <x v="2"/>
    <x v="2"/>
    <x v="1"/>
    <x v="1"/>
    <x v="1"/>
    <n v="0"/>
    <x v="0"/>
    <x v="0"/>
    <x v="0"/>
    <x v="0"/>
    <n v="23"/>
    <x v="2"/>
    <x v="2"/>
    <x v="1"/>
    <n v="40"/>
  </r>
  <r>
    <x v="0"/>
    <x v="0"/>
    <x v="7"/>
    <x v="4"/>
    <x v="3"/>
    <x v="1"/>
    <x v="0"/>
    <x v="0"/>
    <n v="61"/>
    <x v="0"/>
    <x v="0"/>
    <x v="0"/>
    <x v="0"/>
    <n v="50"/>
    <x v="0"/>
    <x v="0"/>
    <x v="0"/>
    <n v="50"/>
  </r>
  <r>
    <x v="0"/>
    <x v="0"/>
    <x v="7"/>
    <x v="4"/>
    <x v="3"/>
    <x v="1"/>
    <x v="0"/>
    <x v="0"/>
    <n v="61"/>
    <x v="0"/>
    <x v="0"/>
    <x v="0"/>
    <x v="0"/>
    <n v="50"/>
    <x v="0"/>
    <x v="0"/>
    <x v="1"/>
    <n v="50"/>
  </r>
  <r>
    <x v="0"/>
    <x v="0"/>
    <x v="8"/>
    <x v="5"/>
    <x v="4"/>
    <x v="1"/>
    <x v="0"/>
    <x v="0"/>
    <n v="61"/>
    <x v="0"/>
    <x v="0"/>
    <x v="0"/>
    <x v="0"/>
    <n v="24"/>
    <x v="0"/>
    <x v="0"/>
    <x v="0"/>
    <n v="24"/>
  </r>
  <r>
    <x v="0"/>
    <x v="0"/>
    <x v="8"/>
    <x v="5"/>
    <x v="4"/>
    <x v="1"/>
    <x v="0"/>
    <x v="0"/>
    <n v="61"/>
    <x v="0"/>
    <x v="0"/>
    <x v="0"/>
    <x v="0"/>
    <n v="24"/>
    <x v="0"/>
    <x v="0"/>
    <x v="1"/>
    <n v="50"/>
  </r>
  <r>
    <x v="0"/>
    <x v="0"/>
    <x v="9"/>
    <x v="5"/>
    <x v="3"/>
    <x v="1"/>
    <x v="0"/>
    <x v="1"/>
    <n v="50"/>
    <x v="0"/>
    <x v="0"/>
    <x v="0"/>
    <x v="0"/>
    <n v="60"/>
    <x v="2"/>
    <x v="0"/>
    <x v="0"/>
    <n v="-120"/>
  </r>
  <r>
    <x v="0"/>
    <x v="0"/>
    <x v="9"/>
    <x v="5"/>
    <x v="3"/>
    <x v="1"/>
    <x v="0"/>
    <x v="1"/>
    <n v="50"/>
    <x v="0"/>
    <x v="0"/>
    <x v="0"/>
    <x v="0"/>
    <n v="60"/>
    <x v="2"/>
    <x v="0"/>
    <x v="1"/>
    <n v="-50"/>
  </r>
  <r>
    <x v="0"/>
    <x v="0"/>
    <x v="9"/>
    <x v="5"/>
    <x v="3"/>
    <x v="1"/>
    <x v="0"/>
    <x v="1"/>
    <n v="50"/>
    <x v="0"/>
    <x v="0"/>
    <x v="0"/>
    <x v="0"/>
    <n v="60"/>
    <x v="2"/>
    <x v="1"/>
    <x v="1"/>
    <n v="40"/>
  </r>
  <r>
    <x v="0"/>
    <x v="0"/>
    <x v="9"/>
    <x v="5"/>
    <x v="3"/>
    <x v="1"/>
    <x v="0"/>
    <x v="1"/>
    <n v="50"/>
    <x v="0"/>
    <x v="0"/>
    <x v="0"/>
    <x v="0"/>
    <n v="60"/>
    <x v="2"/>
    <x v="2"/>
    <x v="1"/>
    <n v="40"/>
  </r>
  <r>
    <x v="0"/>
    <x v="0"/>
    <x v="10"/>
    <x v="0"/>
    <x v="0"/>
    <x v="0"/>
    <x v="0"/>
    <x v="0"/>
    <n v="110"/>
    <x v="0"/>
    <x v="0"/>
    <x v="0"/>
    <x v="0"/>
    <n v="144"/>
    <x v="0"/>
    <x v="0"/>
    <x v="0"/>
    <n v="144"/>
  </r>
  <r>
    <x v="0"/>
    <x v="0"/>
    <x v="10"/>
    <x v="0"/>
    <x v="0"/>
    <x v="0"/>
    <x v="0"/>
    <x v="0"/>
    <n v="110"/>
    <x v="0"/>
    <x v="0"/>
    <x v="0"/>
    <x v="0"/>
    <n v="144"/>
    <x v="0"/>
    <x v="0"/>
    <x v="1"/>
    <n v="50"/>
  </r>
  <r>
    <x v="0"/>
    <x v="0"/>
    <x v="11"/>
    <x v="1"/>
    <x v="4"/>
    <x v="1"/>
    <x v="2"/>
    <x v="0"/>
    <n v="66"/>
    <x v="0"/>
    <x v="0"/>
    <x v="0"/>
    <x v="0"/>
    <n v="22"/>
    <x v="0"/>
    <x v="2"/>
    <x v="0"/>
    <n v="22"/>
  </r>
  <r>
    <x v="0"/>
    <x v="0"/>
    <x v="11"/>
    <x v="1"/>
    <x v="4"/>
    <x v="1"/>
    <x v="2"/>
    <x v="0"/>
    <n v="66"/>
    <x v="0"/>
    <x v="0"/>
    <x v="0"/>
    <x v="0"/>
    <n v="22"/>
    <x v="0"/>
    <x v="2"/>
    <x v="1"/>
    <n v="50"/>
  </r>
  <r>
    <x v="0"/>
    <x v="0"/>
    <x v="12"/>
    <x v="4"/>
    <x v="4"/>
    <x v="1"/>
    <x v="1"/>
    <x v="0"/>
    <n v="79"/>
    <x v="0"/>
    <x v="0"/>
    <x v="0"/>
    <x v="0"/>
    <n v="20"/>
    <x v="0"/>
    <x v="1"/>
    <x v="0"/>
    <n v="20"/>
  </r>
  <r>
    <x v="0"/>
    <x v="0"/>
    <x v="12"/>
    <x v="4"/>
    <x v="4"/>
    <x v="1"/>
    <x v="1"/>
    <x v="0"/>
    <n v="79"/>
    <x v="0"/>
    <x v="0"/>
    <x v="0"/>
    <x v="0"/>
    <n v="20"/>
    <x v="0"/>
    <x v="1"/>
    <x v="1"/>
    <n v="50"/>
  </r>
  <r>
    <x v="0"/>
    <x v="0"/>
    <x v="13"/>
    <x v="5"/>
    <x v="5"/>
    <x v="0"/>
    <x v="1"/>
    <x v="0"/>
    <n v="95"/>
    <x v="0"/>
    <x v="0"/>
    <x v="0"/>
    <x v="0"/>
    <n v="36"/>
    <x v="0"/>
    <x v="1"/>
    <x v="0"/>
    <n v="36"/>
  </r>
  <r>
    <x v="0"/>
    <x v="0"/>
    <x v="13"/>
    <x v="5"/>
    <x v="5"/>
    <x v="0"/>
    <x v="1"/>
    <x v="0"/>
    <n v="95"/>
    <x v="0"/>
    <x v="0"/>
    <x v="0"/>
    <x v="0"/>
    <n v="36"/>
    <x v="0"/>
    <x v="1"/>
    <x v="1"/>
    <n v="50"/>
  </r>
  <r>
    <x v="0"/>
    <x v="0"/>
    <x v="14"/>
    <x v="3"/>
    <x v="2"/>
    <x v="1"/>
    <x v="1"/>
    <x v="1"/>
    <n v="90"/>
    <x v="0"/>
    <x v="0"/>
    <x v="0"/>
    <x v="0"/>
    <n v="90"/>
    <x v="1"/>
    <x v="0"/>
    <x v="1"/>
    <n v="40"/>
  </r>
  <r>
    <x v="0"/>
    <x v="0"/>
    <x v="14"/>
    <x v="3"/>
    <x v="2"/>
    <x v="1"/>
    <x v="1"/>
    <x v="1"/>
    <n v="90"/>
    <x v="0"/>
    <x v="0"/>
    <x v="0"/>
    <x v="0"/>
    <n v="90"/>
    <x v="1"/>
    <x v="1"/>
    <x v="0"/>
    <n v="-90"/>
  </r>
  <r>
    <x v="0"/>
    <x v="0"/>
    <x v="14"/>
    <x v="3"/>
    <x v="2"/>
    <x v="1"/>
    <x v="1"/>
    <x v="1"/>
    <n v="90"/>
    <x v="0"/>
    <x v="0"/>
    <x v="0"/>
    <x v="0"/>
    <n v="90"/>
    <x v="1"/>
    <x v="1"/>
    <x v="1"/>
    <n v="-50"/>
  </r>
  <r>
    <x v="0"/>
    <x v="0"/>
    <x v="14"/>
    <x v="3"/>
    <x v="2"/>
    <x v="1"/>
    <x v="1"/>
    <x v="1"/>
    <n v="90"/>
    <x v="0"/>
    <x v="0"/>
    <x v="0"/>
    <x v="0"/>
    <n v="90"/>
    <x v="1"/>
    <x v="2"/>
    <x v="1"/>
    <n v="40"/>
  </r>
  <r>
    <x v="0"/>
    <x v="0"/>
    <x v="15"/>
    <x v="0"/>
    <x v="4"/>
    <x v="1"/>
    <x v="1"/>
    <x v="0"/>
    <n v="86"/>
    <x v="0"/>
    <x v="0"/>
    <x v="0"/>
    <x v="0"/>
    <n v="48"/>
    <x v="0"/>
    <x v="1"/>
    <x v="0"/>
    <n v="48"/>
  </r>
  <r>
    <x v="0"/>
    <x v="0"/>
    <x v="15"/>
    <x v="0"/>
    <x v="4"/>
    <x v="1"/>
    <x v="1"/>
    <x v="0"/>
    <n v="86"/>
    <x v="0"/>
    <x v="0"/>
    <x v="0"/>
    <x v="0"/>
    <n v="48"/>
    <x v="0"/>
    <x v="1"/>
    <x v="1"/>
    <n v="50"/>
  </r>
  <r>
    <x v="0"/>
    <x v="0"/>
    <x v="16"/>
    <x v="1"/>
    <x v="0"/>
    <x v="1"/>
    <x v="2"/>
    <x v="0"/>
    <n v="81"/>
    <x v="0"/>
    <x v="0"/>
    <x v="0"/>
    <x v="0"/>
    <n v="55"/>
    <x v="0"/>
    <x v="2"/>
    <x v="0"/>
    <n v="55"/>
  </r>
  <r>
    <x v="0"/>
    <x v="0"/>
    <x v="16"/>
    <x v="1"/>
    <x v="0"/>
    <x v="1"/>
    <x v="2"/>
    <x v="0"/>
    <n v="81"/>
    <x v="0"/>
    <x v="0"/>
    <x v="0"/>
    <x v="0"/>
    <n v="55"/>
    <x v="0"/>
    <x v="2"/>
    <x v="1"/>
    <n v="50"/>
  </r>
  <r>
    <x v="0"/>
    <x v="0"/>
    <x v="17"/>
    <x v="1"/>
    <x v="5"/>
    <x v="0"/>
    <x v="0"/>
    <x v="0"/>
    <n v="91"/>
    <x v="0"/>
    <x v="0"/>
    <x v="0"/>
    <x v="0"/>
    <n v="33"/>
    <x v="0"/>
    <x v="0"/>
    <x v="0"/>
    <n v="33"/>
  </r>
  <r>
    <x v="0"/>
    <x v="0"/>
    <x v="17"/>
    <x v="1"/>
    <x v="5"/>
    <x v="0"/>
    <x v="0"/>
    <x v="0"/>
    <n v="91"/>
    <x v="0"/>
    <x v="0"/>
    <x v="0"/>
    <x v="0"/>
    <n v="33"/>
    <x v="0"/>
    <x v="0"/>
    <x v="1"/>
    <n v="50"/>
  </r>
  <r>
    <x v="0"/>
    <x v="0"/>
    <x v="18"/>
    <x v="2"/>
    <x v="2"/>
    <x v="1"/>
    <x v="1"/>
    <x v="0"/>
    <n v="0"/>
    <x v="0"/>
    <x v="0"/>
    <x v="0"/>
    <x v="0"/>
    <n v="23"/>
    <x v="0"/>
    <x v="1"/>
    <x v="0"/>
    <n v="23"/>
  </r>
  <r>
    <x v="0"/>
    <x v="0"/>
    <x v="18"/>
    <x v="2"/>
    <x v="2"/>
    <x v="1"/>
    <x v="1"/>
    <x v="0"/>
    <n v="0"/>
    <x v="0"/>
    <x v="0"/>
    <x v="0"/>
    <x v="0"/>
    <n v="23"/>
    <x v="0"/>
    <x v="1"/>
    <x v="1"/>
    <n v="50"/>
  </r>
  <r>
    <x v="0"/>
    <x v="0"/>
    <x v="19"/>
    <x v="4"/>
    <x v="5"/>
    <x v="1"/>
    <x v="1"/>
    <x v="0"/>
    <n v="70"/>
    <x v="0"/>
    <x v="0"/>
    <x v="0"/>
    <x v="0"/>
    <n v="20"/>
    <x v="0"/>
    <x v="1"/>
    <x v="0"/>
    <n v="20"/>
  </r>
  <r>
    <x v="0"/>
    <x v="0"/>
    <x v="19"/>
    <x v="4"/>
    <x v="5"/>
    <x v="1"/>
    <x v="1"/>
    <x v="0"/>
    <n v="70"/>
    <x v="0"/>
    <x v="0"/>
    <x v="0"/>
    <x v="0"/>
    <n v="20"/>
    <x v="0"/>
    <x v="1"/>
    <x v="1"/>
    <n v="50"/>
  </r>
  <r>
    <x v="0"/>
    <x v="0"/>
    <x v="20"/>
    <x v="0"/>
    <x v="5"/>
    <x v="1"/>
    <x v="2"/>
    <x v="0"/>
    <n v="87"/>
    <x v="0"/>
    <x v="0"/>
    <x v="0"/>
    <x v="0"/>
    <n v="48"/>
    <x v="0"/>
    <x v="2"/>
    <x v="0"/>
    <n v="48"/>
  </r>
  <r>
    <x v="0"/>
    <x v="0"/>
    <x v="20"/>
    <x v="0"/>
    <x v="5"/>
    <x v="1"/>
    <x v="2"/>
    <x v="0"/>
    <n v="87"/>
    <x v="0"/>
    <x v="0"/>
    <x v="0"/>
    <x v="0"/>
    <n v="48"/>
    <x v="0"/>
    <x v="2"/>
    <x v="1"/>
    <n v="50"/>
  </r>
  <r>
    <x v="0"/>
    <x v="0"/>
    <x v="21"/>
    <x v="1"/>
    <x v="6"/>
    <x v="1"/>
    <x v="0"/>
    <x v="1"/>
    <n v="58"/>
    <x v="0"/>
    <x v="0"/>
    <x v="0"/>
    <x v="0"/>
    <n v="33"/>
    <x v="2"/>
    <x v="0"/>
    <x v="0"/>
    <n v="-66"/>
  </r>
  <r>
    <x v="0"/>
    <x v="0"/>
    <x v="21"/>
    <x v="1"/>
    <x v="6"/>
    <x v="1"/>
    <x v="0"/>
    <x v="1"/>
    <n v="58"/>
    <x v="0"/>
    <x v="0"/>
    <x v="0"/>
    <x v="0"/>
    <n v="33"/>
    <x v="2"/>
    <x v="0"/>
    <x v="1"/>
    <n v="-50"/>
  </r>
  <r>
    <x v="0"/>
    <x v="0"/>
    <x v="21"/>
    <x v="1"/>
    <x v="6"/>
    <x v="1"/>
    <x v="0"/>
    <x v="1"/>
    <n v="58"/>
    <x v="0"/>
    <x v="0"/>
    <x v="0"/>
    <x v="0"/>
    <n v="33"/>
    <x v="2"/>
    <x v="1"/>
    <x v="1"/>
    <n v="40"/>
  </r>
  <r>
    <x v="0"/>
    <x v="0"/>
    <x v="21"/>
    <x v="1"/>
    <x v="6"/>
    <x v="1"/>
    <x v="0"/>
    <x v="1"/>
    <n v="58"/>
    <x v="0"/>
    <x v="0"/>
    <x v="0"/>
    <x v="0"/>
    <n v="33"/>
    <x v="2"/>
    <x v="2"/>
    <x v="1"/>
    <n v="40"/>
  </r>
  <r>
    <x v="0"/>
    <x v="0"/>
    <x v="22"/>
    <x v="0"/>
    <x v="0"/>
    <x v="3"/>
    <x v="2"/>
    <x v="0"/>
    <n v="120"/>
    <x v="0"/>
    <x v="0"/>
    <x v="0"/>
    <x v="0"/>
    <n v="168"/>
    <x v="0"/>
    <x v="2"/>
    <x v="0"/>
    <n v="168"/>
  </r>
  <r>
    <x v="0"/>
    <x v="0"/>
    <x v="22"/>
    <x v="0"/>
    <x v="0"/>
    <x v="3"/>
    <x v="2"/>
    <x v="0"/>
    <n v="120"/>
    <x v="0"/>
    <x v="0"/>
    <x v="0"/>
    <x v="0"/>
    <n v="168"/>
    <x v="0"/>
    <x v="2"/>
    <x v="1"/>
    <n v="50"/>
  </r>
  <r>
    <x v="0"/>
    <x v="0"/>
    <x v="23"/>
    <x v="0"/>
    <x v="0"/>
    <x v="1"/>
    <x v="0"/>
    <x v="0"/>
    <n v="78"/>
    <x v="0"/>
    <x v="0"/>
    <x v="0"/>
    <x v="0"/>
    <n v="120"/>
    <x v="0"/>
    <x v="0"/>
    <x v="0"/>
    <n v="120"/>
  </r>
  <r>
    <x v="0"/>
    <x v="0"/>
    <x v="23"/>
    <x v="0"/>
    <x v="0"/>
    <x v="1"/>
    <x v="0"/>
    <x v="0"/>
    <n v="78"/>
    <x v="0"/>
    <x v="0"/>
    <x v="0"/>
    <x v="0"/>
    <n v="120"/>
    <x v="0"/>
    <x v="0"/>
    <x v="1"/>
    <n v="50"/>
  </r>
  <r>
    <x v="0"/>
    <x v="0"/>
    <x v="24"/>
    <x v="5"/>
    <x v="0"/>
    <x v="1"/>
    <x v="0"/>
    <x v="0"/>
    <n v="80"/>
    <x v="0"/>
    <x v="0"/>
    <x v="0"/>
    <x v="0"/>
    <n v="60"/>
    <x v="0"/>
    <x v="0"/>
    <x v="0"/>
    <n v="60"/>
  </r>
  <r>
    <x v="0"/>
    <x v="0"/>
    <x v="24"/>
    <x v="5"/>
    <x v="0"/>
    <x v="1"/>
    <x v="0"/>
    <x v="0"/>
    <n v="80"/>
    <x v="0"/>
    <x v="0"/>
    <x v="0"/>
    <x v="0"/>
    <n v="60"/>
    <x v="0"/>
    <x v="0"/>
    <x v="1"/>
    <n v="50"/>
  </r>
  <r>
    <x v="0"/>
    <x v="0"/>
    <x v="25"/>
    <x v="2"/>
    <x v="2"/>
    <x v="1"/>
    <x v="2"/>
    <x v="1"/>
    <n v="0"/>
    <x v="0"/>
    <x v="0"/>
    <x v="0"/>
    <x v="0"/>
    <n v="23"/>
    <x v="2"/>
    <x v="0"/>
    <x v="1"/>
    <n v="40"/>
  </r>
  <r>
    <x v="0"/>
    <x v="0"/>
    <x v="25"/>
    <x v="2"/>
    <x v="2"/>
    <x v="1"/>
    <x v="2"/>
    <x v="1"/>
    <n v="0"/>
    <x v="0"/>
    <x v="0"/>
    <x v="0"/>
    <x v="0"/>
    <n v="23"/>
    <x v="2"/>
    <x v="1"/>
    <x v="1"/>
    <n v="40"/>
  </r>
  <r>
    <x v="0"/>
    <x v="0"/>
    <x v="25"/>
    <x v="2"/>
    <x v="2"/>
    <x v="1"/>
    <x v="2"/>
    <x v="1"/>
    <n v="0"/>
    <x v="0"/>
    <x v="0"/>
    <x v="0"/>
    <x v="0"/>
    <n v="23"/>
    <x v="2"/>
    <x v="2"/>
    <x v="0"/>
    <n v="-46"/>
  </r>
  <r>
    <x v="0"/>
    <x v="0"/>
    <x v="25"/>
    <x v="2"/>
    <x v="2"/>
    <x v="1"/>
    <x v="2"/>
    <x v="1"/>
    <n v="0"/>
    <x v="0"/>
    <x v="0"/>
    <x v="0"/>
    <x v="0"/>
    <n v="23"/>
    <x v="2"/>
    <x v="2"/>
    <x v="1"/>
    <n v="-50"/>
  </r>
  <r>
    <x v="0"/>
    <x v="0"/>
    <x v="26"/>
    <x v="0"/>
    <x v="1"/>
    <x v="0"/>
    <x v="1"/>
    <x v="0"/>
    <n v="106"/>
    <x v="0"/>
    <x v="0"/>
    <x v="0"/>
    <x v="0"/>
    <n v="120"/>
    <x v="0"/>
    <x v="1"/>
    <x v="0"/>
    <n v="120"/>
  </r>
  <r>
    <x v="0"/>
    <x v="0"/>
    <x v="26"/>
    <x v="0"/>
    <x v="1"/>
    <x v="0"/>
    <x v="1"/>
    <x v="0"/>
    <n v="106"/>
    <x v="0"/>
    <x v="0"/>
    <x v="0"/>
    <x v="0"/>
    <n v="120"/>
    <x v="0"/>
    <x v="1"/>
    <x v="1"/>
    <n v="50"/>
  </r>
  <r>
    <x v="0"/>
    <x v="0"/>
    <x v="27"/>
    <x v="6"/>
    <x v="7"/>
    <x v="0"/>
    <x v="0"/>
    <x v="1"/>
    <n v="28"/>
    <x v="0"/>
    <x v="0"/>
    <x v="0"/>
    <x v="0"/>
    <n v="45"/>
    <x v="2"/>
    <x v="0"/>
    <x v="0"/>
    <n v="-90"/>
  </r>
  <r>
    <x v="0"/>
    <x v="0"/>
    <x v="27"/>
    <x v="6"/>
    <x v="7"/>
    <x v="0"/>
    <x v="0"/>
    <x v="1"/>
    <n v="28"/>
    <x v="0"/>
    <x v="0"/>
    <x v="0"/>
    <x v="0"/>
    <n v="45"/>
    <x v="2"/>
    <x v="0"/>
    <x v="1"/>
    <n v="-50"/>
  </r>
  <r>
    <x v="0"/>
    <x v="0"/>
    <x v="27"/>
    <x v="6"/>
    <x v="7"/>
    <x v="0"/>
    <x v="0"/>
    <x v="1"/>
    <n v="28"/>
    <x v="0"/>
    <x v="0"/>
    <x v="0"/>
    <x v="0"/>
    <n v="45"/>
    <x v="2"/>
    <x v="1"/>
    <x v="1"/>
    <n v="40"/>
  </r>
  <r>
    <x v="0"/>
    <x v="0"/>
    <x v="27"/>
    <x v="6"/>
    <x v="7"/>
    <x v="0"/>
    <x v="0"/>
    <x v="1"/>
    <n v="28"/>
    <x v="0"/>
    <x v="0"/>
    <x v="0"/>
    <x v="0"/>
    <n v="45"/>
    <x v="2"/>
    <x v="2"/>
    <x v="1"/>
    <n v="40"/>
  </r>
  <r>
    <x v="0"/>
    <x v="0"/>
    <x v="28"/>
    <x v="1"/>
    <x v="8"/>
    <x v="0"/>
    <x v="1"/>
    <x v="0"/>
    <n v="91"/>
    <x v="1"/>
    <x v="0"/>
    <x v="0"/>
    <x v="0"/>
    <n v="44"/>
    <x v="3"/>
    <x v="1"/>
    <x v="0"/>
    <n v="88"/>
  </r>
  <r>
    <x v="0"/>
    <x v="0"/>
    <x v="28"/>
    <x v="1"/>
    <x v="8"/>
    <x v="0"/>
    <x v="1"/>
    <x v="0"/>
    <n v="91"/>
    <x v="1"/>
    <x v="0"/>
    <x v="0"/>
    <x v="0"/>
    <n v="44"/>
    <x v="3"/>
    <x v="1"/>
    <x v="1"/>
    <n v="50"/>
  </r>
  <r>
    <x v="0"/>
    <x v="0"/>
    <x v="29"/>
    <x v="5"/>
    <x v="8"/>
    <x v="1"/>
    <x v="0"/>
    <x v="1"/>
    <n v="52"/>
    <x v="1"/>
    <x v="0"/>
    <x v="0"/>
    <x v="0"/>
    <n v="36"/>
    <x v="4"/>
    <x v="0"/>
    <x v="0"/>
    <n v="-144"/>
  </r>
  <r>
    <x v="0"/>
    <x v="0"/>
    <x v="29"/>
    <x v="5"/>
    <x v="8"/>
    <x v="1"/>
    <x v="0"/>
    <x v="1"/>
    <n v="52"/>
    <x v="1"/>
    <x v="0"/>
    <x v="0"/>
    <x v="0"/>
    <n v="36"/>
    <x v="4"/>
    <x v="0"/>
    <x v="1"/>
    <n v="-50"/>
  </r>
  <r>
    <x v="0"/>
    <x v="0"/>
    <x v="29"/>
    <x v="5"/>
    <x v="8"/>
    <x v="1"/>
    <x v="0"/>
    <x v="1"/>
    <n v="52"/>
    <x v="1"/>
    <x v="0"/>
    <x v="0"/>
    <x v="0"/>
    <n v="36"/>
    <x v="4"/>
    <x v="1"/>
    <x v="1"/>
    <n v="40"/>
  </r>
  <r>
    <x v="0"/>
    <x v="0"/>
    <x v="29"/>
    <x v="5"/>
    <x v="8"/>
    <x v="1"/>
    <x v="0"/>
    <x v="1"/>
    <n v="52"/>
    <x v="1"/>
    <x v="0"/>
    <x v="0"/>
    <x v="0"/>
    <n v="36"/>
    <x v="4"/>
    <x v="2"/>
    <x v="1"/>
    <n v="40"/>
  </r>
  <r>
    <x v="0"/>
    <x v="0"/>
    <x v="30"/>
    <x v="6"/>
    <x v="5"/>
    <x v="1"/>
    <x v="1"/>
    <x v="1"/>
    <n v="39"/>
    <x v="1"/>
    <x v="0"/>
    <x v="0"/>
    <x v="0"/>
    <n v="18"/>
    <x v="4"/>
    <x v="0"/>
    <x v="1"/>
    <n v="40"/>
  </r>
  <r>
    <x v="0"/>
    <x v="0"/>
    <x v="30"/>
    <x v="6"/>
    <x v="5"/>
    <x v="1"/>
    <x v="1"/>
    <x v="1"/>
    <n v="39"/>
    <x v="1"/>
    <x v="0"/>
    <x v="0"/>
    <x v="0"/>
    <n v="18"/>
    <x v="4"/>
    <x v="1"/>
    <x v="0"/>
    <n v="-72"/>
  </r>
  <r>
    <x v="0"/>
    <x v="0"/>
    <x v="30"/>
    <x v="6"/>
    <x v="5"/>
    <x v="1"/>
    <x v="1"/>
    <x v="1"/>
    <n v="39"/>
    <x v="1"/>
    <x v="0"/>
    <x v="0"/>
    <x v="0"/>
    <n v="18"/>
    <x v="4"/>
    <x v="1"/>
    <x v="1"/>
    <n v="-50"/>
  </r>
  <r>
    <x v="0"/>
    <x v="0"/>
    <x v="30"/>
    <x v="6"/>
    <x v="5"/>
    <x v="1"/>
    <x v="1"/>
    <x v="1"/>
    <n v="39"/>
    <x v="1"/>
    <x v="0"/>
    <x v="0"/>
    <x v="0"/>
    <n v="18"/>
    <x v="4"/>
    <x v="2"/>
    <x v="1"/>
    <n v="40"/>
  </r>
  <r>
    <x v="0"/>
    <x v="0"/>
    <x v="31"/>
    <x v="3"/>
    <x v="2"/>
    <x v="1"/>
    <x v="1"/>
    <x v="1"/>
    <n v="736"/>
    <x v="0"/>
    <x v="0"/>
    <x v="0"/>
    <x v="0"/>
    <n v="736"/>
    <x v="1"/>
    <x v="0"/>
    <x v="1"/>
    <n v="40"/>
  </r>
  <r>
    <x v="0"/>
    <x v="0"/>
    <x v="31"/>
    <x v="3"/>
    <x v="2"/>
    <x v="1"/>
    <x v="1"/>
    <x v="1"/>
    <n v="736"/>
    <x v="0"/>
    <x v="0"/>
    <x v="0"/>
    <x v="0"/>
    <n v="736"/>
    <x v="1"/>
    <x v="1"/>
    <x v="0"/>
    <n v="-736"/>
  </r>
  <r>
    <x v="0"/>
    <x v="0"/>
    <x v="31"/>
    <x v="3"/>
    <x v="2"/>
    <x v="1"/>
    <x v="1"/>
    <x v="1"/>
    <n v="736"/>
    <x v="0"/>
    <x v="0"/>
    <x v="0"/>
    <x v="0"/>
    <n v="736"/>
    <x v="1"/>
    <x v="1"/>
    <x v="1"/>
    <n v="-50"/>
  </r>
  <r>
    <x v="0"/>
    <x v="0"/>
    <x v="31"/>
    <x v="3"/>
    <x v="2"/>
    <x v="1"/>
    <x v="1"/>
    <x v="1"/>
    <n v="736"/>
    <x v="0"/>
    <x v="0"/>
    <x v="0"/>
    <x v="0"/>
    <n v="736"/>
    <x v="1"/>
    <x v="2"/>
    <x v="1"/>
    <n v="40"/>
  </r>
  <r>
    <x v="0"/>
    <x v="0"/>
    <x v="32"/>
    <x v="0"/>
    <x v="8"/>
    <x v="4"/>
    <x v="2"/>
    <x v="0"/>
    <n v="79"/>
    <x v="0"/>
    <x v="0"/>
    <x v="0"/>
    <x v="0"/>
    <n v="96"/>
    <x v="0"/>
    <x v="2"/>
    <x v="0"/>
    <n v="96"/>
  </r>
  <r>
    <x v="0"/>
    <x v="0"/>
    <x v="32"/>
    <x v="0"/>
    <x v="8"/>
    <x v="4"/>
    <x v="2"/>
    <x v="0"/>
    <n v="79"/>
    <x v="0"/>
    <x v="0"/>
    <x v="0"/>
    <x v="0"/>
    <n v="96"/>
    <x v="0"/>
    <x v="2"/>
    <x v="1"/>
    <n v="50"/>
  </r>
  <r>
    <x v="0"/>
    <x v="0"/>
    <x v="33"/>
    <x v="0"/>
    <x v="3"/>
    <x v="4"/>
    <x v="2"/>
    <x v="1"/>
    <n v="51"/>
    <x v="0"/>
    <x v="0"/>
    <x v="0"/>
    <x v="0"/>
    <n v="144"/>
    <x v="2"/>
    <x v="0"/>
    <x v="1"/>
    <n v="40"/>
  </r>
  <r>
    <x v="0"/>
    <x v="0"/>
    <x v="33"/>
    <x v="0"/>
    <x v="3"/>
    <x v="4"/>
    <x v="2"/>
    <x v="1"/>
    <n v="51"/>
    <x v="0"/>
    <x v="0"/>
    <x v="0"/>
    <x v="0"/>
    <n v="144"/>
    <x v="2"/>
    <x v="1"/>
    <x v="1"/>
    <n v="40"/>
  </r>
  <r>
    <x v="0"/>
    <x v="0"/>
    <x v="33"/>
    <x v="0"/>
    <x v="3"/>
    <x v="4"/>
    <x v="2"/>
    <x v="1"/>
    <n v="51"/>
    <x v="0"/>
    <x v="0"/>
    <x v="0"/>
    <x v="0"/>
    <n v="144"/>
    <x v="2"/>
    <x v="2"/>
    <x v="0"/>
    <n v="-288"/>
  </r>
  <r>
    <x v="0"/>
    <x v="0"/>
    <x v="33"/>
    <x v="0"/>
    <x v="3"/>
    <x v="4"/>
    <x v="2"/>
    <x v="1"/>
    <n v="51"/>
    <x v="0"/>
    <x v="0"/>
    <x v="0"/>
    <x v="0"/>
    <n v="144"/>
    <x v="2"/>
    <x v="2"/>
    <x v="1"/>
    <n v="-50"/>
  </r>
  <r>
    <x v="0"/>
    <x v="0"/>
    <x v="34"/>
    <x v="0"/>
    <x v="4"/>
    <x v="4"/>
    <x v="0"/>
    <x v="1"/>
    <n v="51"/>
    <x v="0"/>
    <x v="0"/>
    <x v="0"/>
    <x v="0"/>
    <n v="72"/>
    <x v="2"/>
    <x v="0"/>
    <x v="0"/>
    <n v="-144"/>
  </r>
  <r>
    <x v="0"/>
    <x v="0"/>
    <x v="34"/>
    <x v="0"/>
    <x v="4"/>
    <x v="4"/>
    <x v="0"/>
    <x v="1"/>
    <n v="51"/>
    <x v="0"/>
    <x v="0"/>
    <x v="0"/>
    <x v="0"/>
    <n v="72"/>
    <x v="2"/>
    <x v="0"/>
    <x v="1"/>
    <n v="-50"/>
  </r>
  <r>
    <x v="0"/>
    <x v="0"/>
    <x v="34"/>
    <x v="0"/>
    <x v="4"/>
    <x v="4"/>
    <x v="0"/>
    <x v="1"/>
    <n v="51"/>
    <x v="0"/>
    <x v="0"/>
    <x v="0"/>
    <x v="0"/>
    <n v="72"/>
    <x v="2"/>
    <x v="1"/>
    <x v="1"/>
    <n v="40"/>
  </r>
  <r>
    <x v="0"/>
    <x v="0"/>
    <x v="34"/>
    <x v="0"/>
    <x v="4"/>
    <x v="4"/>
    <x v="0"/>
    <x v="1"/>
    <n v="51"/>
    <x v="0"/>
    <x v="0"/>
    <x v="0"/>
    <x v="0"/>
    <n v="72"/>
    <x v="2"/>
    <x v="2"/>
    <x v="1"/>
    <n v="40"/>
  </r>
  <r>
    <x v="0"/>
    <x v="0"/>
    <x v="35"/>
    <x v="0"/>
    <x v="5"/>
    <x v="4"/>
    <x v="1"/>
    <x v="1"/>
    <n v="36"/>
    <x v="0"/>
    <x v="0"/>
    <x v="0"/>
    <x v="0"/>
    <n v="72"/>
    <x v="2"/>
    <x v="0"/>
    <x v="1"/>
    <n v="40"/>
  </r>
  <r>
    <x v="0"/>
    <x v="0"/>
    <x v="35"/>
    <x v="0"/>
    <x v="5"/>
    <x v="4"/>
    <x v="1"/>
    <x v="1"/>
    <n v="36"/>
    <x v="0"/>
    <x v="0"/>
    <x v="0"/>
    <x v="0"/>
    <n v="72"/>
    <x v="2"/>
    <x v="1"/>
    <x v="0"/>
    <n v="-144"/>
  </r>
  <r>
    <x v="0"/>
    <x v="0"/>
    <x v="35"/>
    <x v="0"/>
    <x v="5"/>
    <x v="4"/>
    <x v="1"/>
    <x v="1"/>
    <n v="36"/>
    <x v="0"/>
    <x v="0"/>
    <x v="0"/>
    <x v="0"/>
    <n v="72"/>
    <x v="2"/>
    <x v="1"/>
    <x v="1"/>
    <n v="-50"/>
  </r>
  <r>
    <x v="0"/>
    <x v="0"/>
    <x v="35"/>
    <x v="0"/>
    <x v="5"/>
    <x v="4"/>
    <x v="1"/>
    <x v="1"/>
    <n v="36"/>
    <x v="0"/>
    <x v="0"/>
    <x v="0"/>
    <x v="0"/>
    <n v="72"/>
    <x v="2"/>
    <x v="2"/>
    <x v="1"/>
    <n v="40"/>
  </r>
  <r>
    <x v="0"/>
    <x v="0"/>
    <x v="36"/>
    <x v="0"/>
    <x v="6"/>
    <x v="4"/>
    <x v="2"/>
    <x v="0"/>
    <n v="74"/>
    <x v="0"/>
    <x v="0"/>
    <x v="0"/>
    <x v="0"/>
    <n v="96"/>
    <x v="0"/>
    <x v="2"/>
    <x v="0"/>
    <n v="96"/>
  </r>
  <r>
    <x v="0"/>
    <x v="0"/>
    <x v="36"/>
    <x v="0"/>
    <x v="6"/>
    <x v="4"/>
    <x v="2"/>
    <x v="0"/>
    <n v="74"/>
    <x v="0"/>
    <x v="0"/>
    <x v="0"/>
    <x v="0"/>
    <n v="96"/>
    <x v="0"/>
    <x v="2"/>
    <x v="1"/>
    <n v="50"/>
  </r>
  <r>
    <x v="0"/>
    <x v="0"/>
    <x v="37"/>
    <x v="0"/>
    <x v="1"/>
    <x v="4"/>
    <x v="1"/>
    <x v="0"/>
    <n v="78"/>
    <x v="0"/>
    <x v="0"/>
    <x v="0"/>
    <x v="0"/>
    <n v="120"/>
    <x v="0"/>
    <x v="1"/>
    <x v="0"/>
    <n v="120"/>
  </r>
  <r>
    <x v="0"/>
    <x v="0"/>
    <x v="37"/>
    <x v="0"/>
    <x v="1"/>
    <x v="4"/>
    <x v="1"/>
    <x v="0"/>
    <n v="78"/>
    <x v="0"/>
    <x v="0"/>
    <x v="0"/>
    <x v="0"/>
    <n v="120"/>
    <x v="0"/>
    <x v="1"/>
    <x v="1"/>
    <n v="50"/>
  </r>
  <r>
    <x v="0"/>
    <x v="0"/>
    <x v="38"/>
    <x v="3"/>
    <x v="2"/>
    <x v="1"/>
    <x v="1"/>
    <x v="1"/>
    <n v="168"/>
    <x v="0"/>
    <x v="0"/>
    <x v="0"/>
    <x v="0"/>
    <n v="168"/>
    <x v="1"/>
    <x v="0"/>
    <x v="1"/>
    <n v="40"/>
  </r>
  <r>
    <x v="0"/>
    <x v="0"/>
    <x v="38"/>
    <x v="3"/>
    <x v="2"/>
    <x v="1"/>
    <x v="1"/>
    <x v="1"/>
    <n v="168"/>
    <x v="0"/>
    <x v="0"/>
    <x v="0"/>
    <x v="0"/>
    <n v="168"/>
    <x v="1"/>
    <x v="1"/>
    <x v="0"/>
    <n v="-168"/>
  </r>
  <r>
    <x v="0"/>
    <x v="0"/>
    <x v="38"/>
    <x v="3"/>
    <x v="2"/>
    <x v="1"/>
    <x v="1"/>
    <x v="1"/>
    <n v="168"/>
    <x v="0"/>
    <x v="0"/>
    <x v="0"/>
    <x v="0"/>
    <n v="168"/>
    <x v="1"/>
    <x v="1"/>
    <x v="1"/>
    <n v="-50"/>
  </r>
  <r>
    <x v="0"/>
    <x v="0"/>
    <x v="38"/>
    <x v="3"/>
    <x v="2"/>
    <x v="1"/>
    <x v="1"/>
    <x v="1"/>
    <n v="168"/>
    <x v="0"/>
    <x v="0"/>
    <x v="0"/>
    <x v="0"/>
    <n v="168"/>
    <x v="1"/>
    <x v="2"/>
    <x v="1"/>
    <n v="40"/>
  </r>
  <r>
    <x v="0"/>
    <x v="0"/>
    <x v="39"/>
    <x v="0"/>
    <x v="1"/>
    <x v="4"/>
    <x v="0"/>
    <x v="0"/>
    <n v="71"/>
    <x v="0"/>
    <x v="0"/>
    <x v="0"/>
    <x v="0"/>
    <n v="120"/>
    <x v="0"/>
    <x v="0"/>
    <x v="0"/>
    <n v="120"/>
  </r>
  <r>
    <x v="0"/>
    <x v="0"/>
    <x v="39"/>
    <x v="0"/>
    <x v="1"/>
    <x v="4"/>
    <x v="0"/>
    <x v="0"/>
    <n v="71"/>
    <x v="0"/>
    <x v="0"/>
    <x v="0"/>
    <x v="0"/>
    <n v="120"/>
    <x v="0"/>
    <x v="0"/>
    <x v="1"/>
    <n v="50"/>
  </r>
  <r>
    <x v="0"/>
    <x v="0"/>
    <x v="40"/>
    <x v="3"/>
    <x v="2"/>
    <x v="1"/>
    <x v="2"/>
    <x v="1"/>
    <n v="128"/>
    <x v="0"/>
    <x v="0"/>
    <x v="0"/>
    <x v="0"/>
    <n v="128"/>
    <x v="1"/>
    <x v="0"/>
    <x v="1"/>
    <n v="40"/>
  </r>
  <r>
    <x v="0"/>
    <x v="0"/>
    <x v="40"/>
    <x v="3"/>
    <x v="2"/>
    <x v="1"/>
    <x v="2"/>
    <x v="1"/>
    <n v="128"/>
    <x v="0"/>
    <x v="0"/>
    <x v="0"/>
    <x v="0"/>
    <n v="128"/>
    <x v="1"/>
    <x v="1"/>
    <x v="1"/>
    <n v="40"/>
  </r>
  <r>
    <x v="0"/>
    <x v="0"/>
    <x v="40"/>
    <x v="3"/>
    <x v="2"/>
    <x v="1"/>
    <x v="2"/>
    <x v="1"/>
    <n v="128"/>
    <x v="0"/>
    <x v="0"/>
    <x v="0"/>
    <x v="0"/>
    <n v="128"/>
    <x v="1"/>
    <x v="2"/>
    <x v="0"/>
    <n v="-128"/>
  </r>
  <r>
    <x v="0"/>
    <x v="0"/>
    <x v="40"/>
    <x v="3"/>
    <x v="2"/>
    <x v="1"/>
    <x v="2"/>
    <x v="1"/>
    <n v="128"/>
    <x v="0"/>
    <x v="0"/>
    <x v="0"/>
    <x v="0"/>
    <n v="128"/>
    <x v="1"/>
    <x v="2"/>
    <x v="1"/>
    <n v="-50"/>
  </r>
  <r>
    <x v="0"/>
    <x v="0"/>
    <x v="41"/>
    <x v="6"/>
    <x v="5"/>
    <x v="1"/>
    <x v="1"/>
    <x v="0"/>
    <n v="74"/>
    <x v="1"/>
    <x v="1"/>
    <x v="0"/>
    <x v="0"/>
    <n v="18"/>
    <x v="5"/>
    <x v="1"/>
    <x v="0"/>
    <n v="72"/>
  </r>
  <r>
    <x v="0"/>
    <x v="0"/>
    <x v="41"/>
    <x v="6"/>
    <x v="5"/>
    <x v="1"/>
    <x v="1"/>
    <x v="0"/>
    <n v="74"/>
    <x v="1"/>
    <x v="1"/>
    <x v="0"/>
    <x v="0"/>
    <n v="18"/>
    <x v="5"/>
    <x v="1"/>
    <x v="1"/>
    <n v="50"/>
  </r>
  <r>
    <x v="0"/>
    <x v="0"/>
    <x v="42"/>
    <x v="4"/>
    <x v="1"/>
    <x v="1"/>
    <x v="1"/>
    <x v="0"/>
    <n v="84"/>
    <x v="1"/>
    <x v="0"/>
    <x v="0"/>
    <x v="0"/>
    <n v="40"/>
    <x v="3"/>
    <x v="1"/>
    <x v="0"/>
    <n v="80"/>
  </r>
  <r>
    <x v="0"/>
    <x v="0"/>
    <x v="42"/>
    <x v="4"/>
    <x v="1"/>
    <x v="1"/>
    <x v="1"/>
    <x v="0"/>
    <n v="84"/>
    <x v="1"/>
    <x v="0"/>
    <x v="0"/>
    <x v="0"/>
    <n v="40"/>
    <x v="3"/>
    <x v="1"/>
    <x v="1"/>
    <n v="50"/>
  </r>
  <r>
    <x v="1"/>
    <x v="1"/>
    <x v="0"/>
    <x v="6"/>
    <x v="8"/>
    <x v="5"/>
    <x v="2"/>
    <x v="0"/>
    <n v="91"/>
    <x v="0"/>
    <x v="0"/>
    <x v="0"/>
    <x v="0"/>
    <n v="45"/>
    <x v="0"/>
    <x v="2"/>
    <x v="0"/>
    <n v="45"/>
  </r>
  <r>
    <x v="1"/>
    <x v="1"/>
    <x v="0"/>
    <x v="6"/>
    <x v="8"/>
    <x v="5"/>
    <x v="2"/>
    <x v="0"/>
    <n v="91"/>
    <x v="0"/>
    <x v="0"/>
    <x v="0"/>
    <x v="0"/>
    <n v="45"/>
    <x v="0"/>
    <x v="2"/>
    <x v="1"/>
    <n v="50"/>
  </r>
  <r>
    <x v="1"/>
    <x v="0"/>
    <x v="0"/>
    <x v="4"/>
    <x v="5"/>
    <x v="1"/>
    <x v="2"/>
    <x v="1"/>
    <n v="58"/>
    <x v="0"/>
    <x v="0"/>
    <x v="0"/>
    <x v="0"/>
    <n v="20"/>
    <x v="2"/>
    <x v="2"/>
    <x v="0"/>
    <n v="-40"/>
  </r>
  <r>
    <x v="1"/>
    <x v="0"/>
    <x v="0"/>
    <x v="4"/>
    <x v="5"/>
    <x v="1"/>
    <x v="2"/>
    <x v="1"/>
    <n v="58"/>
    <x v="0"/>
    <x v="0"/>
    <x v="0"/>
    <x v="0"/>
    <n v="20"/>
    <x v="2"/>
    <x v="2"/>
    <x v="1"/>
    <n v="-50"/>
  </r>
  <r>
    <x v="1"/>
    <x v="0"/>
    <x v="0"/>
    <x v="4"/>
    <x v="5"/>
    <x v="1"/>
    <x v="2"/>
    <x v="1"/>
    <n v="58"/>
    <x v="0"/>
    <x v="0"/>
    <x v="0"/>
    <x v="0"/>
    <n v="20"/>
    <x v="2"/>
    <x v="1"/>
    <x v="1"/>
    <n v="40"/>
  </r>
  <r>
    <x v="1"/>
    <x v="0"/>
    <x v="0"/>
    <x v="4"/>
    <x v="5"/>
    <x v="1"/>
    <x v="2"/>
    <x v="1"/>
    <n v="58"/>
    <x v="0"/>
    <x v="0"/>
    <x v="0"/>
    <x v="0"/>
    <n v="20"/>
    <x v="2"/>
    <x v="0"/>
    <x v="1"/>
    <n v="40"/>
  </r>
  <r>
    <x v="1"/>
    <x v="0"/>
    <x v="1"/>
    <x v="5"/>
    <x v="1"/>
    <x v="0"/>
    <x v="1"/>
    <x v="0"/>
    <n v="96"/>
    <x v="0"/>
    <x v="0"/>
    <x v="0"/>
    <x v="0"/>
    <n v="60"/>
    <x v="0"/>
    <x v="1"/>
    <x v="0"/>
    <n v="60"/>
  </r>
  <r>
    <x v="1"/>
    <x v="0"/>
    <x v="1"/>
    <x v="5"/>
    <x v="1"/>
    <x v="0"/>
    <x v="1"/>
    <x v="0"/>
    <n v="96"/>
    <x v="0"/>
    <x v="0"/>
    <x v="0"/>
    <x v="0"/>
    <n v="60"/>
    <x v="0"/>
    <x v="1"/>
    <x v="1"/>
    <n v="50"/>
  </r>
  <r>
    <x v="1"/>
    <x v="1"/>
    <x v="1"/>
    <x v="1"/>
    <x v="4"/>
    <x v="1"/>
    <x v="0"/>
    <x v="1"/>
    <n v="48"/>
    <x v="0"/>
    <x v="0"/>
    <x v="0"/>
    <x v="0"/>
    <n v="22"/>
    <x v="2"/>
    <x v="2"/>
    <x v="1"/>
    <n v="40"/>
  </r>
  <r>
    <x v="1"/>
    <x v="1"/>
    <x v="1"/>
    <x v="1"/>
    <x v="4"/>
    <x v="1"/>
    <x v="0"/>
    <x v="1"/>
    <n v="48"/>
    <x v="0"/>
    <x v="0"/>
    <x v="0"/>
    <x v="0"/>
    <n v="22"/>
    <x v="2"/>
    <x v="0"/>
    <x v="0"/>
    <n v="-44"/>
  </r>
  <r>
    <x v="1"/>
    <x v="1"/>
    <x v="1"/>
    <x v="1"/>
    <x v="4"/>
    <x v="1"/>
    <x v="0"/>
    <x v="1"/>
    <n v="48"/>
    <x v="0"/>
    <x v="0"/>
    <x v="0"/>
    <x v="0"/>
    <n v="22"/>
    <x v="2"/>
    <x v="0"/>
    <x v="1"/>
    <n v="-50"/>
  </r>
  <r>
    <x v="1"/>
    <x v="1"/>
    <x v="1"/>
    <x v="1"/>
    <x v="4"/>
    <x v="1"/>
    <x v="0"/>
    <x v="1"/>
    <n v="48"/>
    <x v="0"/>
    <x v="0"/>
    <x v="0"/>
    <x v="0"/>
    <n v="22"/>
    <x v="2"/>
    <x v="1"/>
    <x v="1"/>
    <n v="40"/>
  </r>
  <r>
    <x v="1"/>
    <x v="1"/>
    <x v="2"/>
    <x v="4"/>
    <x v="5"/>
    <x v="1"/>
    <x v="2"/>
    <x v="0"/>
    <n v="89"/>
    <x v="0"/>
    <x v="0"/>
    <x v="0"/>
    <x v="0"/>
    <n v="20"/>
    <x v="0"/>
    <x v="2"/>
    <x v="0"/>
    <n v="20"/>
  </r>
  <r>
    <x v="1"/>
    <x v="1"/>
    <x v="2"/>
    <x v="4"/>
    <x v="5"/>
    <x v="1"/>
    <x v="2"/>
    <x v="0"/>
    <n v="89"/>
    <x v="0"/>
    <x v="0"/>
    <x v="0"/>
    <x v="0"/>
    <n v="20"/>
    <x v="0"/>
    <x v="2"/>
    <x v="1"/>
    <n v="50"/>
  </r>
  <r>
    <x v="1"/>
    <x v="0"/>
    <x v="2"/>
    <x v="3"/>
    <x v="2"/>
    <x v="1"/>
    <x v="1"/>
    <x v="1"/>
    <n v="57"/>
    <x v="0"/>
    <x v="0"/>
    <x v="0"/>
    <x v="0"/>
    <n v="57"/>
    <x v="1"/>
    <x v="2"/>
    <x v="1"/>
    <n v="40"/>
  </r>
  <r>
    <x v="1"/>
    <x v="0"/>
    <x v="2"/>
    <x v="3"/>
    <x v="2"/>
    <x v="1"/>
    <x v="1"/>
    <x v="1"/>
    <n v="57"/>
    <x v="0"/>
    <x v="0"/>
    <x v="0"/>
    <x v="0"/>
    <n v="57"/>
    <x v="1"/>
    <x v="1"/>
    <x v="0"/>
    <n v="-57"/>
  </r>
  <r>
    <x v="1"/>
    <x v="0"/>
    <x v="2"/>
    <x v="3"/>
    <x v="2"/>
    <x v="1"/>
    <x v="1"/>
    <x v="1"/>
    <n v="57"/>
    <x v="0"/>
    <x v="0"/>
    <x v="0"/>
    <x v="0"/>
    <n v="57"/>
    <x v="1"/>
    <x v="1"/>
    <x v="1"/>
    <n v="-50"/>
  </r>
  <r>
    <x v="1"/>
    <x v="0"/>
    <x v="2"/>
    <x v="3"/>
    <x v="2"/>
    <x v="1"/>
    <x v="1"/>
    <x v="1"/>
    <n v="57"/>
    <x v="0"/>
    <x v="0"/>
    <x v="0"/>
    <x v="0"/>
    <n v="57"/>
    <x v="1"/>
    <x v="0"/>
    <x v="1"/>
    <n v="40"/>
  </r>
  <r>
    <x v="1"/>
    <x v="1"/>
    <x v="3"/>
    <x v="3"/>
    <x v="2"/>
    <x v="1"/>
    <x v="2"/>
    <x v="1"/>
    <n v="61"/>
    <x v="0"/>
    <x v="0"/>
    <x v="0"/>
    <x v="0"/>
    <n v="61"/>
    <x v="1"/>
    <x v="2"/>
    <x v="0"/>
    <n v="-61"/>
  </r>
  <r>
    <x v="1"/>
    <x v="1"/>
    <x v="3"/>
    <x v="3"/>
    <x v="2"/>
    <x v="1"/>
    <x v="2"/>
    <x v="1"/>
    <n v="61"/>
    <x v="0"/>
    <x v="0"/>
    <x v="0"/>
    <x v="0"/>
    <n v="61"/>
    <x v="1"/>
    <x v="2"/>
    <x v="1"/>
    <n v="-50"/>
  </r>
  <r>
    <x v="1"/>
    <x v="1"/>
    <x v="3"/>
    <x v="3"/>
    <x v="2"/>
    <x v="1"/>
    <x v="2"/>
    <x v="1"/>
    <n v="61"/>
    <x v="0"/>
    <x v="0"/>
    <x v="0"/>
    <x v="0"/>
    <n v="61"/>
    <x v="1"/>
    <x v="0"/>
    <x v="1"/>
    <n v="40"/>
  </r>
  <r>
    <x v="1"/>
    <x v="1"/>
    <x v="3"/>
    <x v="3"/>
    <x v="2"/>
    <x v="1"/>
    <x v="2"/>
    <x v="1"/>
    <n v="61"/>
    <x v="0"/>
    <x v="0"/>
    <x v="0"/>
    <x v="0"/>
    <n v="61"/>
    <x v="1"/>
    <x v="1"/>
    <x v="1"/>
    <n v="40"/>
  </r>
  <r>
    <x v="1"/>
    <x v="0"/>
    <x v="3"/>
    <x v="3"/>
    <x v="2"/>
    <x v="1"/>
    <x v="2"/>
    <x v="1"/>
    <n v="76"/>
    <x v="0"/>
    <x v="0"/>
    <x v="0"/>
    <x v="0"/>
    <n v="76"/>
    <x v="1"/>
    <x v="2"/>
    <x v="0"/>
    <n v="-76"/>
  </r>
  <r>
    <x v="1"/>
    <x v="0"/>
    <x v="3"/>
    <x v="3"/>
    <x v="2"/>
    <x v="1"/>
    <x v="2"/>
    <x v="1"/>
    <n v="76"/>
    <x v="0"/>
    <x v="0"/>
    <x v="0"/>
    <x v="0"/>
    <n v="76"/>
    <x v="1"/>
    <x v="2"/>
    <x v="1"/>
    <n v="-50"/>
  </r>
  <r>
    <x v="1"/>
    <x v="0"/>
    <x v="3"/>
    <x v="3"/>
    <x v="2"/>
    <x v="1"/>
    <x v="2"/>
    <x v="1"/>
    <n v="76"/>
    <x v="0"/>
    <x v="0"/>
    <x v="0"/>
    <x v="0"/>
    <n v="76"/>
    <x v="1"/>
    <x v="1"/>
    <x v="1"/>
    <n v="40"/>
  </r>
  <r>
    <x v="1"/>
    <x v="0"/>
    <x v="3"/>
    <x v="3"/>
    <x v="2"/>
    <x v="1"/>
    <x v="2"/>
    <x v="1"/>
    <n v="76"/>
    <x v="0"/>
    <x v="0"/>
    <x v="0"/>
    <x v="0"/>
    <n v="76"/>
    <x v="1"/>
    <x v="0"/>
    <x v="1"/>
    <n v="40"/>
  </r>
  <r>
    <x v="1"/>
    <x v="0"/>
    <x v="4"/>
    <x v="6"/>
    <x v="4"/>
    <x v="0"/>
    <x v="0"/>
    <x v="0"/>
    <n v="90"/>
    <x v="0"/>
    <x v="0"/>
    <x v="0"/>
    <x v="0"/>
    <n v="27"/>
    <x v="0"/>
    <x v="0"/>
    <x v="0"/>
    <n v="27"/>
  </r>
  <r>
    <x v="1"/>
    <x v="0"/>
    <x v="4"/>
    <x v="6"/>
    <x v="4"/>
    <x v="0"/>
    <x v="0"/>
    <x v="0"/>
    <n v="90"/>
    <x v="0"/>
    <x v="0"/>
    <x v="0"/>
    <x v="0"/>
    <n v="27"/>
    <x v="0"/>
    <x v="0"/>
    <x v="1"/>
    <n v="50"/>
  </r>
  <r>
    <x v="1"/>
    <x v="1"/>
    <x v="4"/>
    <x v="4"/>
    <x v="1"/>
    <x v="1"/>
    <x v="0"/>
    <x v="0"/>
    <n v="72"/>
    <x v="0"/>
    <x v="0"/>
    <x v="0"/>
    <x v="0"/>
    <n v="40"/>
    <x v="0"/>
    <x v="0"/>
    <x v="0"/>
    <n v="40"/>
  </r>
  <r>
    <x v="1"/>
    <x v="1"/>
    <x v="4"/>
    <x v="4"/>
    <x v="1"/>
    <x v="1"/>
    <x v="0"/>
    <x v="0"/>
    <n v="72"/>
    <x v="0"/>
    <x v="0"/>
    <x v="0"/>
    <x v="0"/>
    <n v="40"/>
    <x v="0"/>
    <x v="0"/>
    <x v="1"/>
    <n v="50"/>
  </r>
  <r>
    <x v="1"/>
    <x v="0"/>
    <x v="5"/>
    <x v="6"/>
    <x v="6"/>
    <x v="1"/>
    <x v="2"/>
    <x v="0"/>
    <n v="72"/>
    <x v="0"/>
    <x v="0"/>
    <x v="0"/>
    <x v="0"/>
    <n v="27"/>
    <x v="0"/>
    <x v="2"/>
    <x v="0"/>
    <n v="27"/>
  </r>
  <r>
    <x v="1"/>
    <x v="0"/>
    <x v="5"/>
    <x v="6"/>
    <x v="6"/>
    <x v="1"/>
    <x v="2"/>
    <x v="0"/>
    <n v="72"/>
    <x v="0"/>
    <x v="0"/>
    <x v="0"/>
    <x v="0"/>
    <n v="27"/>
    <x v="0"/>
    <x v="2"/>
    <x v="1"/>
    <n v="50"/>
  </r>
  <r>
    <x v="1"/>
    <x v="1"/>
    <x v="5"/>
    <x v="0"/>
    <x v="6"/>
    <x v="1"/>
    <x v="1"/>
    <x v="0"/>
    <n v="89"/>
    <x v="0"/>
    <x v="0"/>
    <x v="0"/>
    <x v="0"/>
    <n v="72"/>
    <x v="0"/>
    <x v="1"/>
    <x v="0"/>
    <n v="72"/>
  </r>
  <r>
    <x v="1"/>
    <x v="1"/>
    <x v="5"/>
    <x v="0"/>
    <x v="6"/>
    <x v="1"/>
    <x v="1"/>
    <x v="0"/>
    <n v="89"/>
    <x v="0"/>
    <x v="0"/>
    <x v="0"/>
    <x v="0"/>
    <n v="72"/>
    <x v="0"/>
    <x v="1"/>
    <x v="1"/>
    <n v="50"/>
  </r>
  <r>
    <x v="1"/>
    <x v="0"/>
    <x v="6"/>
    <x v="0"/>
    <x v="8"/>
    <x v="1"/>
    <x v="1"/>
    <x v="0"/>
    <n v="82"/>
    <x v="0"/>
    <x v="0"/>
    <x v="0"/>
    <x v="0"/>
    <n v="72"/>
    <x v="0"/>
    <x v="1"/>
    <x v="0"/>
    <n v="72"/>
  </r>
  <r>
    <x v="1"/>
    <x v="0"/>
    <x v="6"/>
    <x v="0"/>
    <x v="8"/>
    <x v="1"/>
    <x v="1"/>
    <x v="0"/>
    <n v="82"/>
    <x v="0"/>
    <x v="0"/>
    <x v="0"/>
    <x v="0"/>
    <n v="72"/>
    <x v="0"/>
    <x v="1"/>
    <x v="1"/>
    <n v="50"/>
  </r>
  <r>
    <x v="1"/>
    <x v="1"/>
    <x v="6"/>
    <x v="2"/>
    <x v="2"/>
    <x v="1"/>
    <x v="2"/>
    <x v="1"/>
    <n v="0"/>
    <x v="0"/>
    <x v="0"/>
    <x v="0"/>
    <x v="0"/>
    <n v="23"/>
    <x v="2"/>
    <x v="2"/>
    <x v="0"/>
    <n v="-46"/>
  </r>
  <r>
    <x v="1"/>
    <x v="1"/>
    <x v="6"/>
    <x v="2"/>
    <x v="2"/>
    <x v="1"/>
    <x v="2"/>
    <x v="1"/>
    <n v="0"/>
    <x v="0"/>
    <x v="0"/>
    <x v="0"/>
    <x v="0"/>
    <n v="23"/>
    <x v="2"/>
    <x v="2"/>
    <x v="1"/>
    <n v="-50"/>
  </r>
  <r>
    <x v="1"/>
    <x v="1"/>
    <x v="6"/>
    <x v="2"/>
    <x v="2"/>
    <x v="1"/>
    <x v="2"/>
    <x v="1"/>
    <n v="0"/>
    <x v="0"/>
    <x v="0"/>
    <x v="0"/>
    <x v="0"/>
    <n v="23"/>
    <x v="2"/>
    <x v="0"/>
    <x v="1"/>
    <n v="40"/>
  </r>
  <r>
    <x v="1"/>
    <x v="1"/>
    <x v="6"/>
    <x v="2"/>
    <x v="2"/>
    <x v="1"/>
    <x v="2"/>
    <x v="1"/>
    <n v="0"/>
    <x v="0"/>
    <x v="0"/>
    <x v="0"/>
    <x v="0"/>
    <n v="23"/>
    <x v="2"/>
    <x v="1"/>
    <x v="1"/>
    <n v="40"/>
  </r>
  <r>
    <x v="1"/>
    <x v="1"/>
    <x v="7"/>
    <x v="4"/>
    <x v="1"/>
    <x v="0"/>
    <x v="2"/>
    <x v="0"/>
    <n v="97"/>
    <x v="0"/>
    <x v="0"/>
    <x v="0"/>
    <x v="0"/>
    <n v="50"/>
    <x v="0"/>
    <x v="2"/>
    <x v="0"/>
    <n v="50"/>
  </r>
  <r>
    <x v="1"/>
    <x v="1"/>
    <x v="7"/>
    <x v="4"/>
    <x v="1"/>
    <x v="0"/>
    <x v="2"/>
    <x v="0"/>
    <n v="97"/>
    <x v="0"/>
    <x v="0"/>
    <x v="0"/>
    <x v="0"/>
    <n v="50"/>
    <x v="0"/>
    <x v="2"/>
    <x v="1"/>
    <n v="50"/>
  </r>
  <r>
    <x v="1"/>
    <x v="0"/>
    <x v="7"/>
    <x v="6"/>
    <x v="3"/>
    <x v="1"/>
    <x v="0"/>
    <x v="0"/>
    <n v="63"/>
    <x v="0"/>
    <x v="0"/>
    <x v="0"/>
    <x v="0"/>
    <n v="45"/>
    <x v="0"/>
    <x v="0"/>
    <x v="0"/>
    <n v="45"/>
  </r>
  <r>
    <x v="1"/>
    <x v="0"/>
    <x v="7"/>
    <x v="6"/>
    <x v="3"/>
    <x v="1"/>
    <x v="0"/>
    <x v="0"/>
    <n v="63"/>
    <x v="0"/>
    <x v="0"/>
    <x v="0"/>
    <x v="0"/>
    <n v="45"/>
    <x v="0"/>
    <x v="0"/>
    <x v="1"/>
    <n v="50"/>
  </r>
  <r>
    <x v="1"/>
    <x v="1"/>
    <x v="8"/>
    <x v="6"/>
    <x v="4"/>
    <x v="1"/>
    <x v="1"/>
    <x v="0"/>
    <n v="70"/>
    <x v="0"/>
    <x v="0"/>
    <x v="0"/>
    <x v="0"/>
    <n v="18"/>
    <x v="0"/>
    <x v="1"/>
    <x v="0"/>
    <n v="18"/>
  </r>
  <r>
    <x v="1"/>
    <x v="1"/>
    <x v="8"/>
    <x v="6"/>
    <x v="4"/>
    <x v="1"/>
    <x v="1"/>
    <x v="0"/>
    <n v="70"/>
    <x v="0"/>
    <x v="0"/>
    <x v="0"/>
    <x v="0"/>
    <n v="18"/>
    <x v="0"/>
    <x v="1"/>
    <x v="1"/>
    <n v="50"/>
  </r>
  <r>
    <x v="1"/>
    <x v="0"/>
    <x v="8"/>
    <x v="6"/>
    <x v="5"/>
    <x v="0"/>
    <x v="2"/>
    <x v="0"/>
    <n v="100"/>
    <x v="0"/>
    <x v="0"/>
    <x v="0"/>
    <x v="0"/>
    <n v="27"/>
    <x v="0"/>
    <x v="2"/>
    <x v="0"/>
    <n v="27"/>
  </r>
  <r>
    <x v="1"/>
    <x v="0"/>
    <x v="8"/>
    <x v="6"/>
    <x v="5"/>
    <x v="0"/>
    <x v="2"/>
    <x v="0"/>
    <n v="100"/>
    <x v="0"/>
    <x v="0"/>
    <x v="0"/>
    <x v="0"/>
    <n v="27"/>
    <x v="0"/>
    <x v="2"/>
    <x v="1"/>
    <n v="50"/>
  </r>
  <r>
    <x v="1"/>
    <x v="0"/>
    <x v="9"/>
    <x v="1"/>
    <x v="5"/>
    <x v="1"/>
    <x v="1"/>
    <x v="0"/>
    <n v="79"/>
    <x v="0"/>
    <x v="0"/>
    <x v="0"/>
    <x v="0"/>
    <n v="22"/>
    <x v="0"/>
    <x v="1"/>
    <x v="0"/>
    <n v="22"/>
  </r>
  <r>
    <x v="1"/>
    <x v="0"/>
    <x v="9"/>
    <x v="1"/>
    <x v="5"/>
    <x v="1"/>
    <x v="1"/>
    <x v="0"/>
    <n v="79"/>
    <x v="0"/>
    <x v="0"/>
    <x v="0"/>
    <x v="0"/>
    <n v="22"/>
    <x v="0"/>
    <x v="1"/>
    <x v="1"/>
    <n v="50"/>
  </r>
  <r>
    <x v="1"/>
    <x v="0"/>
    <x v="10"/>
    <x v="6"/>
    <x v="6"/>
    <x v="1"/>
    <x v="1"/>
    <x v="0"/>
    <n v="81"/>
    <x v="0"/>
    <x v="0"/>
    <x v="0"/>
    <x v="0"/>
    <n v="27"/>
    <x v="0"/>
    <x v="1"/>
    <x v="0"/>
    <n v="27"/>
  </r>
  <r>
    <x v="1"/>
    <x v="0"/>
    <x v="10"/>
    <x v="6"/>
    <x v="6"/>
    <x v="1"/>
    <x v="1"/>
    <x v="0"/>
    <n v="81"/>
    <x v="0"/>
    <x v="0"/>
    <x v="0"/>
    <x v="0"/>
    <n v="27"/>
    <x v="0"/>
    <x v="1"/>
    <x v="1"/>
    <n v="50"/>
  </r>
  <r>
    <x v="1"/>
    <x v="0"/>
    <x v="11"/>
    <x v="4"/>
    <x v="8"/>
    <x v="1"/>
    <x v="0"/>
    <x v="1"/>
    <n v="47"/>
    <x v="0"/>
    <x v="0"/>
    <x v="0"/>
    <x v="0"/>
    <n v="30"/>
    <x v="2"/>
    <x v="2"/>
    <x v="1"/>
    <n v="40"/>
  </r>
  <r>
    <x v="1"/>
    <x v="0"/>
    <x v="11"/>
    <x v="4"/>
    <x v="8"/>
    <x v="1"/>
    <x v="0"/>
    <x v="1"/>
    <n v="47"/>
    <x v="0"/>
    <x v="0"/>
    <x v="0"/>
    <x v="0"/>
    <n v="30"/>
    <x v="2"/>
    <x v="1"/>
    <x v="1"/>
    <n v="40"/>
  </r>
  <r>
    <x v="1"/>
    <x v="0"/>
    <x v="11"/>
    <x v="4"/>
    <x v="8"/>
    <x v="1"/>
    <x v="0"/>
    <x v="1"/>
    <n v="47"/>
    <x v="0"/>
    <x v="0"/>
    <x v="0"/>
    <x v="0"/>
    <n v="30"/>
    <x v="2"/>
    <x v="0"/>
    <x v="0"/>
    <n v="-60"/>
  </r>
  <r>
    <x v="1"/>
    <x v="0"/>
    <x v="11"/>
    <x v="4"/>
    <x v="8"/>
    <x v="1"/>
    <x v="0"/>
    <x v="1"/>
    <n v="47"/>
    <x v="0"/>
    <x v="0"/>
    <x v="0"/>
    <x v="0"/>
    <n v="30"/>
    <x v="2"/>
    <x v="0"/>
    <x v="1"/>
    <n v="-50"/>
  </r>
  <r>
    <x v="1"/>
    <x v="0"/>
    <x v="12"/>
    <x v="3"/>
    <x v="2"/>
    <x v="1"/>
    <x v="2"/>
    <x v="1"/>
    <n v="94"/>
    <x v="0"/>
    <x v="0"/>
    <x v="0"/>
    <x v="0"/>
    <n v="94"/>
    <x v="1"/>
    <x v="2"/>
    <x v="0"/>
    <n v="-94"/>
  </r>
  <r>
    <x v="1"/>
    <x v="0"/>
    <x v="12"/>
    <x v="3"/>
    <x v="2"/>
    <x v="1"/>
    <x v="2"/>
    <x v="1"/>
    <n v="94"/>
    <x v="0"/>
    <x v="0"/>
    <x v="0"/>
    <x v="0"/>
    <n v="94"/>
    <x v="1"/>
    <x v="2"/>
    <x v="1"/>
    <n v="-50"/>
  </r>
  <r>
    <x v="1"/>
    <x v="0"/>
    <x v="12"/>
    <x v="3"/>
    <x v="2"/>
    <x v="1"/>
    <x v="2"/>
    <x v="1"/>
    <n v="94"/>
    <x v="0"/>
    <x v="0"/>
    <x v="0"/>
    <x v="0"/>
    <n v="94"/>
    <x v="1"/>
    <x v="1"/>
    <x v="1"/>
    <n v="40"/>
  </r>
  <r>
    <x v="1"/>
    <x v="0"/>
    <x v="12"/>
    <x v="3"/>
    <x v="2"/>
    <x v="1"/>
    <x v="2"/>
    <x v="1"/>
    <n v="94"/>
    <x v="0"/>
    <x v="0"/>
    <x v="0"/>
    <x v="0"/>
    <n v="94"/>
    <x v="1"/>
    <x v="0"/>
    <x v="1"/>
    <n v="40"/>
  </r>
  <r>
    <x v="1"/>
    <x v="0"/>
    <x v="13"/>
    <x v="5"/>
    <x v="4"/>
    <x v="1"/>
    <x v="2"/>
    <x v="1"/>
    <n v="44"/>
    <x v="0"/>
    <x v="0"/>
    <x v="0"/>
    <x v="0"/>
    <n v="24"/>
    <x v="2"/>
    <x v="2"/>
    <x v="0"/>
    <n v="-48"/>
  </r>
  <r>
    <x v="1"/>
    <x v="0"/>
    <x v="13"/>
    <x v="5"/>
    <x v="4"/>
    <x v="1"/>
    <x v="2"/>
    <x v="1"/>
    <n v="44"/>
    <x v="0"/>
    <x v="0"/>
    <x v="0"/>
    <x v="0"/>
    <n v="24"/>
    <x v="2"/>
    <x v="2"/>
    <x v="1"/>
    <n v="-50"/>
  </r>
  <r>
    <x v="1"/>
    <x v="0"/>
    <x v="13"/>
    <x v="5"/>
    <x v="4"/>
    <x v="1"/>
    <x v="2"/>
    <x v="1"/>
    <n v="44"/>
    <x v="0"/>
    <x v="0"/>
    <x v="0"/>
    <x v="0"/>
    <n v="24"/>
    <x v="2"/>
    <x v="1"/>
    <x v="1"/>
    <n v="40"/>
  </r>
  <r>
    <x v="1"/>
    <x v="0"/>
    <x v="13"/>
    <x v="5"/>
    <x v="4"/>
    <x v="1"/>
    <x v="2"/>
    <x v="1"/>
    <n v="44"/>
    <x v="0"/>
    <x v="0"/>
    <x v="0"/>
    <x v="0"/>
    <n v="24"/>
    <x v="2"/>
    <x v="0"/>
    <x v="1"/>
    <n v="40"/>
  </r>
  <r>
    <x v="1"/>
    <x v="0"/>
    <x v="14"/>
    <x v="5"/>
    <x v="5"/>
    <x v="1"/>
    <x v="2"/>
    <x v="0"/>
    <n v="84"/>
    <x v="0"/>
    <x v="0"/>
    <x v="0"/>
    <x v="0"/>
    <n v="24"/>
    <x v="0"/>
    <x v="2"/>
    <x v="0"/>
    <n v="24"/>
  </r>
  <r>
    <x v="1"/>
    <x v="0"/>
    <x v="14"/>
    <x v="5"/>
    <x v="5"/>
    <x v="1"/>
    <x v="2"/>
    <x v="0"/>
    <n v="84"/>
    <x v="0"/>
    <x v="0"/>
    <x v="0"/>
    <x v="0"/>
    <n v="24"/>
    <x v="0"/>
    <x v="2"/>
    <x v="1"/>
    <n v="50"/>
  </r>
  <r>
    <x v="1"/>
    <x v="0"/>
    <x v="15"/>
    <x v="0"/>
    <x v="5"/>
    <x v="1"/>
    <x v="0"/>
    <x v="0"/>
    <n v="77"/>
    <x v="0"/>
    <x v="0"/>
    <x v="0"/>
    <x v="0"/>
    <n v="48"/>
    <x v="0"/>
    <x v="0"/>
    <x v="0"/>
    <n v="48"/>
  </r>
  <r>
    <x v="1"/>
    <x v="0"/>
    <x v="15"/>
    <x v="0"/>
    <x v="5"/>
    <x v="1"/>
    <x v="0"/>
    <x v="0"/>
    <n v="77"/>
    <x v="0"/>
    <x v="0"/>
    <x v="0"/>
    <x v="0"/>
    <n v="48"/>
    <x v="0"/>
    <x v="0"/>
    <x v="1"/>
    <n v="50"/>
  </r>
  <r>
    <x v="1"/>
    <x v="0"/>
    <x v="16"/>
    <x v="0"/>
    <x v="4"/>
    <x v="3"/>
    <x v="0"/>
    <x v="0"/>
    <n v="120"/>
    <x v="0"/>
    <x v="0"/>
    <x v="0"/>
    <x v="0"/>
    <n v="96"/>
    <x v="0"/>
    <x v="0"/>
    <x v="0"/>
    <n v="96"/>
  </r>
  <r>
    <x v="1"/>
    <x v="0"/>
    <x v="16"/>
    <x v="0"/>
    <x v="4"/>
    <x v="3"/>
    <x v="0"/>
    <x v="0"/>
    <n v="120"/>
    <x v="0"/>
    <x v="0"/>
    <x v="0"/>
    <x v="0"/>
    <n v="96"/>
    <x v="0"/>
    <x v="0"/>
    <x v="1"/>
    <n v="50"/>
  </r>
  <r>
    <x v="1"/>
    <x v="0"/>
    <x v="17"/>
    <x v="0"/>
    <x v="1"/>
    <x v="1"/>
    <x v="2"/>
    <x v="1"/>
    <n v="56"/>
    <x v="0"/>
    <x v="0"/>
    <x v="0"/>
    <x v="0"/>
    <n v="96"/>
    <x v="2"/>
    <x v="2"/>
    <x v="0"/>
    <n v="-192"/>
  </r>
  <r>
    <x v="1"/>
    <x v="0"/>
    <x v="17"/>
    <x v="0"/>
    <x v="1"/>
    <x v="1"/>
    <x v="2"/>
    <x v="1"/>
    <n v="56"/>
    <x v="0"/>
    <x v="0"/>
    <x v="0"/>
    <x v="0"/>
    <n v="96"/>
    <x v="2"/>
    <x v="2"/>
    <x v="1"/>
    <n v="-50"/>
  </r>
  <r>
    <x v="1"/>
    <x v="0"/>
    <x v="17"/>
    <x v="0"/>
    <x v="1"/>
    <x v="1"/>
    <x v="2"/>
    <x v="1"/>
    <n v="56"/>
    <x v="0"/>
    <x v="0"/>
    <x v="0"/>
    <x v="0"/>
    <n v="96"/>
    <x v="2"/>
    <x v="1"/>
    <x v="1"/>
    <n v="40"/>
  </r>
  <r>
    <x v="1"/>
    <x v="0"/>
    <x v="17"/>
    <x v="0"/>
    <x v="1"/>
    <x v="1"/>
    <x v="2"/>
    <x v="1"/>
    <n v="56"/>
    <x v="0"/>
    <x v="0"/>
    <x v="0"/>
    <x v="0"/>
    <n v="96"/>
    <x v="2"/>
    <x v="0"/>
    <x v="1"/>
    <n v="40"/>
  </r>
  <r>
    <x v="1"/>
    <x v="0"/>
    <x v="18"/>
    <x v="5"/>
    <x v="4"/>
    <x v="1"/>
    <x v="0"/>
    <x v="0"/>
    <n v="79"/>
    <x v="0"/>
    <x v="0"/>
    <x v="0"/>
    <x v="0"/>
    <n v="24"/>
    <x v="0"/>
    <x v="0"/>
    <x v="0"/>
    <n v="24"/>
  </r>
  <r>
    <x v="1"/>
    <x v="0"/>
    <x v="18"/>
    <x v="5"/>
    <x v="4"/>
    <x v="1"/>
    <x v="0"/>
    <x v="0"/>
    <n v="79"/>
    <x v="0"/>
    <x v="0"/>
    <x v="0"/>
    <x v="0"/>
    <n v="24"/>
    <x v="0"/>
    <x v="0"/>
    <x v="1"/>
    <n v="50"/>
  </r>
  <r>
    <x v="1"/>
    <x v="0"/>
    <x v="19"/>
    <x v="4"/>
    <x v="6"/>
    <x v="0"/>
    <x v="0"/>
    <x v="0"/>
    <n v="96"/>
    <x v="0"/>
    <x v="0"/>
    <x v="0"/>
    <x v="0"/>
    <n v="40"/>
    <x v="0"/>
    <x v="0"/>
    <x v="0"/>
    <n v="40"/>
  </r>
  <r>
    <x v="1"/>
    <x v="0"/>
    <x v="19"/>
    <x v="4"/>
    <x v="6"/>
    <x v="0"/>
    <x v="0"/>
    <x v="0"/>
    <n v="96"/>
    <x v="0"/>
    <x v="0"/>
    <x v="0"/>
    <x v="0"/>
    <n v="40"/>
    <x v="0"/>
    <x v="0"/>
    <x v="1"/>
    <n v="50"/>
  </r>
  <r>
    <x v="1"/>
    <x v="0"/>
    <x v="20"/>
    <x v="4"/>
    <x v="5"/>
    <x v="1"/>
    <x v="0"/>
    <x v="0"/>
    <n v="65"/>
    <x v="0"/>
    <x v="0"/>
    <x v="0"/>
    <x v="0"/>
    <n v="20"/>
    <x v="0"/>
    <x v="0"/>
    <x v="0"/>
    <n v="20"/>
  </r>
  <r>
    <x v="1"/>
    <x v="0"/>
    <x v="20"/>
    <x v="4"/>
    <x v="5"/>
    <x v="1"/>
    <x v="0"/>
    <x v="0"/>
    <n v="65"/>
    <x v="0"/>
    <x v="0"/>
    <x v="0"/>
    <x v="0"/>
    <n v="20"/>
    <x v="0"/>
    <x v="0"/>
    <x v="1"/>
    <n v="50"/>
  </r>
  <r>
    <x v="1"/>
    <x v="0"/>
    <x v="21"/>
    <x v="2"/>
    <x v="2"/>
    <x v="1"/>
    <x v="0"/>
    <x v="1"/>
    <n v="0"/>
    <x v="0"/>
    <x v="0"/>
    <x v="0"/>
    <x v="0"/>
    <n v="23"/>
    <x v="2"/>
    <x v="2"/>
    <x v="1"/>
    <n v="40"/>
  </r>
  <r>
    <x v="1"/>
    <x v="0"/>
    <x v="21"/>
    <x v="2"/>
    <x v="2"/>
    <x v="1"/>
    <x v="0"/>
    <x v="1"/>
    <n v="0"/>
    <x v="0"/>
    <x v="0"/>
    <x v="0"/>
    <x v="0"/>
    <n v="23"/>
    <x v="2"/>
    <x v="1"/>
    <x v="1"/>
    <n v="40"/>
  </r>
  <r>
    <x v="1"/>
    <x v="0"/>
    <x v="21"/>
    <x v="2"/>
    <x v="2"/>
    <x v="1"/>
    <x v="0"/>
    <x v="1"/>
    <n v="0"/>
    <x v="0"/>
    <x v="0"/>
    <x v="0"/>
    <x v="0"/>
    <n v="23"/>
    <x v="2"/>
    <x v="0"/>
    <x v="0"/>
    <n v="-46"/>
  </r>
  <r>
    <x v="1"/>
    <x v="0"/>
    <x v="21"/>
    <x v="2"/>
    <x v="2"/>
    <x v="1"/>
    <x v="0"/>
    <x v="1"/>
    <n v="0"/>
    <x v="0"/>
    <x v="0"/>
    <x v="0"/>
    <x v="0"/>
    <n v="23"/>
    <x v="2"/>
    <x v="0"/>
    <x v="1"/>
    <n v="-50"/>
  </r>
  <r>
    <x v="1"/>
    <x v="0"/>
    <x v="22"/>
    <x v="4"/>
    <x v="4"/>
    <x v="1"/>
    <x v="0"/>
    <x v="0"/>
    <n v="80"/>
    <x v="0"/>
    <x v="0"/>
    <x v="0"/>
    <x v="0"/>
    <n v="20"/>
    <x v="0"/>
    <x v="0"/>
    <x v="0"/>
    <n v="20"/>
  </r>
  <r>
    <x v="1"/>
    <x v="0"/>
    <x v="22"/>
    <x v="4"/>
    <x v="4"/>
    <x v="1"/>
    <x v="0"/>
    <x v="0"/>
    <n v="80"/>
    <x v="0"/>
    <x v="0"/>
    <x v="0"/>
    <x v="0"/>
    <n v="20"/>
    <x v="0"/>
    <x v="0"/>
    <x v="1"/>
    <n v="50"/>
  </r>
  <r>
    <x v="1"/>
    <x v="0"/>
    <x v="23"/>
    <x v="4"/>
    <x v="5"/>
    <x v="1"/>
    <x v="1"/>
    <x v="0"/>
    <n v="89"/>
    <x v="0"/>
    <x v="0"/>
    <x v="0"/>
    <x v="0"/>
    <n v="20"/>
    <x v="0"/>
    <x v="1"/>
    <x v="0"/>
    <n v="20"/>
  </r>
  <r>
    <x v="1"/>
    <x v="0"/>
    <x v="23"/>
    <x v="4"/>
    <x v="5"/>
    <x v="1"/>
    <x v="1"/>
    <x v="0"/>
    <n v="89"/>
    <x v="0"/>
    <x v="0"/>
    <x v="0"/>
    <x v="0"/>
    <n v="20"/>
    <x v="0"/>
    <x v="1"/>
    <x v="1"/>
    <n v="50"/>
  </r>
  <r>
    <x v="1"/>
    <x v="0"/>
    <x v="24"/>
    <x v="5"/>
    <x v="4"/>
    <x v="0"/>
    <x v="1"/>
    <x v="0"/>
    <n v="108"/>
    <x v="0"/>
    <x v="0"/>
    <x v="0"/>
    <x v="0"/>
    <n v="36"/>
    <x v="0"/>
    <x v="1"/>
    <x v="0"/>
    <n v="36"/>
  </r>
  <r>
    <x v="1"/>
    <x v="0"/>
    <x v="24"/>
    <x v="5"/>
    <x v="4"/>
    <x v="0"/>
    <x v="1"/>
    <x v="0"/>
    <n v="108"/>
    <x v="0"/>
    <x v="0"/>
    <x v="0"/>
    <x v="0"/>
    <n v="36"/>
    <x v="0"/>
    <x v="1"/>
    <x v="1"/>
    <n v="50"/>
  </r>
  <r>
    <x v="1"/>
    <x v="0"/>
    <x v="25"/>
    <x v="5"/>
    <x v="6"/>
    <x v="1"/>
    <x v="0"/>
    <x v="0"/>
    <n v="77"/>
    <x v="0"/>
    <x v="0"/>
    <x v="0"/>
    <x v="0"/>
    <n v="36"/>
    <x v="0"/>
    <x v="0"/>
    <x v="0"/>
    <n v="36"/>
  </r>
  <r>
    <x v="1"/>
    <x v="0"/>
    <x v="25"/>
    <x v="5"/>
    <x v="6"/>
    <x v="1"/>
    <x v="0"/>
    <x v="0"/>
    <n v="77"/>
    <x v="0"/>
    <x v="0"/>
    <x v="0"/>
    <x v="0"/>
    <n v="36"/>
    <x v="0"/>
    <x v="0"/>
    <x v="1"/>
    <n v="50"/>
  </r>
  <r>
    <x v="1"/>
    <x v="0"/>
    <x v="26"/>
    <x v="4"/>
    <x v="4"/>
    <x v="1"/>
    <x v="1"/>
    <x v="1"/>
    <n v="50"/>
    <x v="0"/>
    <x v="0"/>
    <x v="0"/>
    <x v="0"/>
    <n v="20"/>
    <x v="2"/>
    <x v="2"/>
    <x v="1"/>
    <n v="40"/>
  </r>
  <r>
    <x v="1"/>
    <x v="0"/>
    <x v="26"/>
    <x v="4"/>
    <x v="4"/>
    <x v="1"/>
    <x v="1"/>
    <x v="1"/>
    <n v="50"/>
    <x v="0"/>
    <x v="0"/>
    <x v="0"/>
    <x v="0"/>
    <n v="20"/>
    <x v="2"/>
    <x v="1"/>
    <x v="0"/>
    <n v="-40"/>
  </r>
  <r>
    <x v="1"/>
    <x v="0"/>
    <x v="26"/>
    <x v="4"/>
    <x v="4"/>
    <x v="1"/>
    <x v="1"/>
    <x v="1"/>
    <n v="50"/>
    <x v="0"/>
    <x v="0"/>
    <x v="0"/>
    <x v="0"/>
    <n v="20"/>
    <x v="2"/>
    <x v="1"/>
    <x v="1"/>
    <n v="-50"/>
  </r>
  <r>
    <x v="1"/>
    <x v="0"/>
    <x v="26"/>
    <x v="4"/>
    <x v="4"/>
    <x v="1"/>
    <x v="1"/>
    <x v="1"/>
    <n v="50"/>
    <x v="0"/>
    <x v="0"/>
    <x v="0"/>
    <x v="0"/>
    <n v="20"/>
    <x v="2"/>
    <x v="0"/>
    <x v="1"/>
    <n v="40"/>
  </r>
  <r>
    <x v="1"/>
    <x v="0"/>
    <x v="27"/>
    <x v="5"/>
    <x v="8"/>
    <x v="0"/>
    <x v="0"/>
    <x v="0"/>
    <n v="106"/>
    <x v="0"/>
    <x v="0"/>
    <x v="0"/>
    <x v="0"/>
    <n v="48"/>
    <x v="0"/>
    <x v="0"/>
    <x v="0"/>
    <n v="48"/>
  </r>
  <r>
    <x v="1"/>
    <x v="0"/>
    <x v="27"/>
    <x v="5"/>
    <x v="8"/>
    <x v="0"/>
    <x v="0"/>
    <x v="0"/>
    <n v="106"/>
    <x v="0"/>
    <x v="0"/>
    <x v="0"/>
    <x v="0"/>
    <n v="48"/>
    <x v="0"/>
    <x v="0"/>
    <x v="1"/>
    <n v="50"/>
  </r>
  <r>
    <x v="1"/>
    <x v="0"/>
    <x v="28"/>
    <x v="2"/>
    <x v="2"/>
    <x v="2"/>
    <x v="0"/>
    <x v="0"/>
    <n v="0"/>
    <x v="0"/>
    <x v="0"/>
    <x v="0"/>
    <x v="0"/>
    <n v="46"/>
    <x v="0"/>
    <x v="0"/>
    <x v="0"/>
    <n v="46"/>
  </r>
  <r>
    <x v="1"/>
    <x v="0"/>
    <x v="28"/>
    <x v="2"/>
    <x v="2"/>
    <x v="2"/>
    <x v="0"/>
    <x v="0"/>
    <n v="0"/>
    <x v="0"/>
    <x v="0"/>
    <x v="0"/>
    <x v="0"/>
    <n v="46"/>
    <x v="0"/>
    <x v="0"/>
    <x v="1"/>
    <n v="50"/>
  </r>
  <r>
    <x v="1"/>
    <x v="0"/>
    <x v="29"/>
    <x v="6"/>
    <x v="6"/>
    <x v="0"/>
    <x v="1"/>
    <x v="0"/>
    <n v="90"/>
    <x v="0"/>
    <x v="0"/>
    <x v="0"/>
    <x v="0"/>
    <n v="36"/>
    <x v="0"/>
    <x v="1"/>
    <x v="0"/>
    <n v="36"/>
  </r>
  <r>
    <x v="1"/>
    <x v="0"/>
    <x v="29"/>
    <x v="6"/>
    <x v="6"/>
    <x v="0"/>
    <x v="1"/>
    <x v="0"/>
    <n v="90"/>
    <x v="0"/>
    <x v="0"/>
    <x v="0"/>
    <x v="0"/>
    <n v="36"/>
    <x v="0"/>
    <x v="1"/>
    <x v="1"/>
    <n v="50"/>
  </r>
  <r>
    <x v="1"/>
    <x v="0"/>
    <x v="30"/>
    <x v="5"/>
    <x v="5"/>
    <x v="1"/>
    <x v="0"/>
    <x v="1"/>
    <n v="58"/>
    <x v="0"/>
    <x v="0"/>
    <x v="0"/>
    <x v="0"/>
    <n v="24"/>
    <x v="2"/>
    <x v="2"/>
    <x v="1"/>
    <n v="40"/>
  </r>
  <r>
    <x v="1"/>
    <x v="0"/>
    <x v="30"/>
    <x v="5"/>
    <x v="5"/>
    <x v="1"/>
    <x v="0"/>
    <x v="1"/>
    <n v="58"/>
    <x v="0"/>
    <x v="0"/>
    <x v="0"/>
    <x v="0"/>
    <n v="24"/>
    <x v="2"/>
    <x v="1"/>
    <x v="1"/>
    <n v="40"/>
  </r>
  <r>
    <x v="1"/>
    <x v="0"/>
    <x v="30"/>
    <x v="5"/>
    <x v="5"/>
    <x v="1"/>
    <x v="0"/>
    <x v="1"/>
    <n v="58"/>
    <x v="0"/>
    <x v="0"/>
    <x v="0"/>
    <x v="0"/>
    <n v="24"/>
    <x v="2"/>
    <x v="0"/>
    <x v="0"/>
    <n v="-48"/>
  </r>
  <r>
    <x v="1"/>
    <x v="0"/>
    <x v="30"/>
    <x v="5"/>
    <x v="5"/>
    <x v="1"/>
    <x v="0"/>
    <x v="1"/>
    <n v="58"/>
    <x v="0"/>
    <x v="0"/>
    <x v="0"/>
    <x v="0"/>
    <n v="24"/>
    <x v="2"/>
    <x v="0"/>
    <x v="1"/>
    <n v="-50"/>
  </r>
  <r>
    <x v="1"/>
    <x v="0"/>
    <x v="31"/>
    <x v="0"/>
    <x v="4"/>
    <x v="4"/>
    <x v="1"/>
    <x v="0"/>
    <n v="72"/>
    <x v="0"/>
    <x v="0"/>
    <x v="0"/>
    <x v="0"/>
    <n v="72"/>
    <x v="0"/>
    <x v="1"/>
    <x v="0"/>
    <n v="72"/>
  </r>
  <r>
    <x v="1"/>
    <x v="0"/>
    <x v="31"/>
    <x v="0"/>
    <x v="4"/>
    <x v="4"/>
    <x v="1"/>
    <x v="0"/>
    <n v="72"/>
    <x v="0"/>
    <x v="0"/>
    <x v="0"/>
    <x v="0"/>
    <n v="72"/>
    <x v="0"/>
    <x v="1"/>
    <x v="1"/>
    <n v="50"/>
  </r>
  <r>
    <x v="1"/>
    <x v="0"/>
    <x v="32"/>
    <x v="6"/>
    <x v="5"/>
    <x v="1"/>
    <x v="1"/>
    <x v="1"/>
    <n v="46"/>
    <x v="0"/>
    <x v="0"/>
    <x v="0"/>
    <x v="0"/>
    <n v="18"/>
    <x v="2"/>
    <x v="2"/>
    <x v="1"/>
    <n v="40"/>
  </r>
  <r>
    <x v="1"/>
    <x v="0"/>
    <x v="32"/>
    <x v="6"/>
    <x v="5"/>
    <x v="1"/>
    <x v="1"/>
    <x v="1"/>
    <n v="46"/>
    <x v="0"/>
    <x v="0"/>
    <x v="0"/>
    <x v="0"/>
    <n v="18"/>
    <x v="2"/>
    <x v="1"/>
    <x v="0"/>
    <n v="-36"/>
  </r>
  <r>
    <x v="1"/>
    <x v="0"/>
    <x v="32"/>
    <x v="6"/>
    <x v="5"/>
    <x v="1"/>
    <x v="1"/>
    <x v="1"/>
    <n v="46"/>
    <x v="0"/>
    <x v="0"/>
    <x v="0"/>
    <x v="0"/>
    <n v="18"/>
    <x v="2"/>
    <x v="1"/>
    <x v="1"/>
    <n v="-50"/>
  </r>
  <r>
    <x v="1"/>
    <x v="0"/>
    <x v="32"/>
    <x v="6"/>
    <x v="5"/>
    <x v="1"/>
    <x v="1"/>
    <x v="1"/>
    <n v="46"/>
    <x v="0"/>
    <x v="0"/>
    <x v="0"/>
    <x v="0"/>
    <n v="18"/>
    <x v="2"/>
    <x v="0"/>
    <x v="1"/>
    <n v="40"/>
  </r>
  <r>
    <x v="1"/>
    <x v="0"/>
    <x v="33"/>
    <x v="1"/>
    <x v="1"/>
    <x v="0"/>
    <x v="0"/>
    <x v="0"/>
    <n v="95"/>
    <x v="0"/>
    <x v="0"/>
    <x v="0"/>
    <x v="0"/>
    <n v="55"/>
    <x v="0"/>
    <x v="0"/>
    <x v="0"/>
    <n v="55"/>
  </r>
  <r>
    <x v="1"/>
    <x v="0"/>
    <x v="33"/>
    <x v="1"/>
    <x v="1"/>
    <x v="0"/>
    <x v="0"/>
    <x v="0"/>
    <n v="95"/>
    <x v="0"/>
    <x v="0"/>
    <x v="0"/>
    <x v="0"/>
    <n v="55"/>
    <x v="0"/>
    <x v="0"/>
    <x v="1"/>
    <n v="50"/>
  </r>
  <r>
    <x v="1"/>
    <x v="0"/>
    <x v="34"/>
    <x v="4"/>
    <x v="8"/>
    <x v="1"/>
    <x v="2"/>
    <x v="0"/>
    <n v="88"/>
    <x v="0"/>
    <x v="0"/>
    <x v="0"/>
    <x v="0"/>
    <n v="30"/>
    <x v="0"/>
    <x v="2"/>
    <x v="0"/>
    <n v="30"/>
  </r>
  <r>
    <x v="1"/>
    <x v="0"/>
    <x v="34"/>
    <x v="4"/>
    <x v="8"/>
    <x v="1"/>
    <x v="2"/>
    <x v="0"/>
    <n v="88"/>
    <x v="0"/>
    <x v="0"/>
    <x v="0"/>
    <x v="0"/>
    <n v="30"/>
    <x v="0"/>
    <x v="2"/>
    <x v="1"/>
    <n v="50"/>
  </r>
  <r>
    <x v="1"/>
    <x v="0"/>
    <x v="35"/>
    <x v="1"/>
    <x v="5"/>
    <x v="1"/>
    <x v="1"/>
    <x v="0"/>
    <n v="70"/>
    <x v="0"/>
    <x v="0"/>
    <x v="0"/>
    <x v="0"/>
    <n v="22"/>
    <x v="0"/>
    <x v="1"/>
    <x v="0"/>
    <n v="22"/>
  </r>
  <r>
    <x v="1"/>
    <x v="0"/>
    <x v="35"/>
    <x v="1"/>
    <x v="5"/>
    <x v="1"/>
    <x v="1"/>
    <x v="0"/>
    <n v="70"/>
    <x v="0"/>
    <x v="0"/>
    <x v="0"/>
    <x v="0"/>
    <n v="22"/>
    <x v="0"/>
    <x v="1"/>
    <x v="1"/>
    <n v="50"/>
  </r>
  <r>
    <x v="2"/>
    <x v="0"/>
    <x v="0"/>
    <x v="5"/>
    <x v="5"/>
    <x v="1"/>
    <x v="1"/>
    <x v="0"/>
    <n v="87"/>
    <x v="0"/>
    <x v="0"/>
    <x v="0"/>
    <x v="0"/>
    <n v="24"/>
    <x v="0"/>
    <x v="1"/>
    <x v="0"/>
    <n v="24"/>
  </r>
  <r>
    <x v="2"/>
    <x v="0"/>
    <x v="0"/>
    <x v="5"/>
    <x v="5"/>
    <x v="1"/>
    <x v="1"/>
    <x v="0"/>
    <n v="87"/>
    <x v="0"/>
    <x v="0"/>
    <x v="0"/>
    <x v="0"/>
    <n v="24"/>
    <x v="0"/>
    <x v="1"/>
    <x v="1"/>
    <n v="50"/>
  </r>
  <r>
    <x v="2"/>
    <x v="1"/>
    <x v="0"/>
    <x v="6"/>
    <x v="4"/>
    <x v="0"/>
    <x v="2"/>
    <x v="0"/>
    <n v="95"/>
    <x v="0"/>
    <x v="0"/>
    <x v="0"/>
    <x v="0"/>
    <n v="27"/>
    <x v="0"/>
    <x v="2"/>
    <x v="0"/>
    <n v="27"/>
  </r>
  <r>
    <x v="2"/>
    <x v="1"/>
    <x v="0"/>
    <x v="6"/>
    <x v="4"/>
    <x v="0"/>
    <x v="2"/>
    <x v="0"/>
    <n v="95"/>
    <x v="0"/>
    <x v="0"/>
    <x v="0"/>
    <x v="0"/>
    <n v="27"/>
    <x v="0"/>
    <x v="2"/>
    <x v="1"/>
    <n v="50"/>
  </r>
  <r>
    <x v="2"/>
    <x v="2"/>
    <x v="0"/>
    <x v="6"/>
    <x v="7"/>
    <x v="1"/>
    <x v="2"/>
    <x v="0"/>
    <n v="78"/>
    <x v="0"/>
    <x v="0"/>
    <x v="0"/>
    <x v="0"/>
    <n v="36"/>
    <x v="0"/>
    <x v="2"/>
    <x v="0"/>
    <n v="36"/>
  </r>
  <r>
    <x v="2"/>
    <x v="2"/>
    <x v="0"/>
    <x v="6"/>
    <x v="7"/>
    <x v="1"/>
    <x v="2"/>
    <x v="0"/>
    <n v="78"/>
    <x v="0"/>
    <x v="0"/>
    <x v="0"/>
    <x v="0"/>
    <n v="36"/>
    <x v="0"/>
    <x v="2"/>
    <x v="1"/>
    <n v="50"/>
  </r>
  <r>
    <x v="2"/>
    <x v="2"/>
    <x v="1"/>
    <x v="2"/>
    <x v="2"/>
    <x v="2"/>
    <x v="0"/>
    <x v="0"/>
    <m/>
    <x v="0"/>
    <x v="0"/>
    <x v="0"/>
    <x v="0"/>
    <n v="46"/>
    <x v="0"/>
    <x v="0"/>
    <x v="0"/>
    <n v="46"/>
  </r>
  <r>
    <x v="2"/>
    <x v="2"/>
    <x v="1"/>
    <x v="2"/>
    <x v="2"/>
    <x v="2"/>
    <x v="0"/>
    <x v="0"/>
    <m/>
    <x v="0"/>
    <x v="0"/>
    <x v="0"/>
    <x v="0"/>
    <n v="46"/>
    <x v="0"/>
    <x v="0"/>
    <x v="1"/>
    <n v="50"/>
  </r>
  <r>
    <x v="2"/>
    <x v="0"/>
    <x v="1"/>
    <x v="2"/>
    <x v="2"/>
    <x v="1"/>
    <x v="2"/>
    <x v="1"/>
    <m/>
    <x v="0"/>
    <x v="0"/>
    <x v="0"/>
    <x v="0"/>
    <n v="23"/>
    <x v="2"/>
    <x v="1"/>
    <x v="1"/>
    <n v="40"/>
  </r>
  <r>
    <x v="2"/>
    <x v="0"/>
    <x v="1"/>
    <x v="2"/>
    <x v="2"/>
    <x v="1"/>
    <x v="2"/>
    <x v="1"/>
    <m/>
    <x v="0"/>
    <x v="0"/>
    <x v="0"/>
    <x v="0"/>
    <n v="23"/>
    <x v="2"/>
    <x v="2"/>
    <x v="0"/>
    <n v="-46"/>
  </r>
  <r>
    <x v="2"/>
    <x v="0"/>
    <x v="1"/>
    <x v="2"/>
    <x v="2"/>
    <x v="1"/>
    <x v="2"/>
    <x v="1"/>
    <m/>
    <x v="0"/>
    <x v="0"/>
    <x v="0"/>
    <x v="0"/>
    <n v="23"/>
    <x v="2"/>
    <x v="2"/>
    <x v="1"/>
    <n v="-50"/>
  </r>
  <r>
    <x v="2"/>
    <x v="0"/>
    <x v="1"/>
    <x v="2"/>
    <x v="2"/>
    <x v="1"/>
    <x v="2"/>
    <x v="1"/>
    <m/>
    <x v="0"/>
    <x v="0"/>
    <x v="0"/>
    <x v="0"/>
    <n v="23"/>
    <x v="2"/>
    <x v="0"/>
    <x v="1"/>
    <n v="40"/>
  </r>
  <r>
    <x v="2"/>
    <x v="1"/>
    <x v="1"/>
    <x v="0"/>
    <x v="6"/>
    <x v="0"/>
    <x v="1"/>
    <x v="0"/>
    <n v="99"/>
    <x v="0"/>
    <x v="0"/>
    <x v="0"/>
    <x v="0"/>
    <n v="96"/>
    <x v="0"/>
    <x v="1"/>
    <x v="0"/>
    <n v="96"/>
  </r>
  <r>
    <x v="2"/>
    <x v="1"/>
    <x v="1"/>
    <x v="0"/>
    <x v="6"/>
    <x v="0"/>
    <x v="1"/>
    <x v="0"/>
    <n v="99"/>
    <x v="0"/>
    <x v="0"/>
    <x v="0"/>
    <x v="0"/>
    <n v="96"/>
    <x v="0"/>
    <x v="1"/>
    <x v="1"/>
    <n v="50"/>
  </r>
  <r>
    <x v="2"/>
    <x v="2"/>
    <x v="2"/>
    <x v="5"/>
    <x v="4"/>
    <x v="0"/>
    <x v="1"/>
    <x v="0"/>
    <n v="91"/>
    <x v="0"/>
    <x v="0"/>
    <x v="0"/>
    <x v="0"/>
    <n v="36"/>
    <x v="0"/>
    <x v="1"/>
    <x v="0"/>
    <n v="36"/>
  </r>
  <r>
    <x v="2"/>
    <x v="2"/>
    <x v="2"/>
    <x v="5"/>
    <x v="4"/>
    <x v="0"/>
    <x v="1"/>
    <x v="0"/>
    <n v="91"/>
    <x v="0"/>
    <x v="0"/>
    <x v="0"/>
    <x v="0"/>
    <n v="36"/>
    <x v="0"/>
    <x v="1"/>
    <x v="1"/>
    <n v="50"/>
  </r>
  <r>
    <x v="2"/>
    <x v="0"/>
    <x v="2"/>
    <x v="0"/>
    <x v="0"/>
    <x v="1"/>
    <x v="1"/>
    <x v="0"/>
    <n v="74"/>
    <x v="0"/>
    <x v="0"/>
    <x v="0"/>
    <x v="0"/>
    <n v="120"/>
    <x v="0"/>
    <x v="1"/>
    <x v="0"/>
    <n v="120"/>
  </r>
  <r>
    <x v="2"/>
    <x v="0"/>
    <x v="2"/>
    <x v="0"/>
    <x v="0"/>
    <x v="1"/>
    <x v="1"/>
    <x v="0"/>
    <n v="74"/>
    <x v="0"/>
    <x v="0"/>
    <x v="0"/>
    <x v="0"/>
    <n v="120"/>
    <x v="0"/>
    <x v="1"/>
    <x v="1"/>
    <n v="50"/>
  </r>
  <r>
    <x v="2"/>
    <x v="1"/>
    <x v="2"/>
    <x v="1"/>
    <x v="4"/>
    <x v="1"/>
    <x v="0"/>
    <x v="0"/>
    <n v="86"/>
    <x v="0"/>
    <x v="0"/>
    <x v="0"/>
    <x v="0"/>
    <n v="22"/>
    <x v="0"/>
    <x v="0"/>
    <x v="0"/>
    <n v="22"/>
  </r>
  <r>
    <x v="2"/>
    <x v="1"/>
    <x v="2"/>
    <x v="1"/>
    <x v="4"/>
    <x v="1"/>
    <x v="0"/>
    <x v="0"/>
    <n v="86"/>
    <x v="0"/>
    <x v="0"/>
    <x v="0"/>
    <x v="0"/>
    <n v="22"/>
    <x v="0"/>
    <x v="0"/>
    <x v="1"/>
    <n v="50"/>
  </r>
  <r>
    <x v="2"/>
    <x v="1"/>
    <x v="3"/>
    <x v="4"/>
    <x v="6"/>
    <x v="3"/>
    <x v="1"/>
    <x v="0"/>
    <n v="120"/>
    <x v="0"/>
    <x v="0"/>
    <x v="0"/>
    <x v="0"/>
    <n v="50"/>
    <x v="0"/>
    <x v="1"/>
    <x v="0"/>
    <n v="50"/>
  </r>
  <r>
    <x v="2"/>
    <x v="1"/>
    <x v="3"/>
    <x v="4"/>
    <x v="6"/>
    <x v="3"/>
    <x v="1"/>
    <x v="0"/>
    <n v="120"/>
    <x v="0"/>
    <x v="0"/>
    <x v="0"/>
    <x v="0"/>
    <n v="50"/>
    <x v="0"/>
    <x v="1"/>
    <x v="1"/>
    <n v="50"/>
  </r>
  <r>
    <x v="2"/>
    <x v="0"/>
    <x v="3"/>
    <x v="4"/>
    <x v="1"/>
    <x v="4"/>
    <x v="2"/>
    <x v="0"/>
    <n v="76"/>
    <x v="0"/>
    <x v="0"/>
    <x v="0"/>
    <x v="0"/>
    <n v="50"/>
    <x v="0"/>
    <x v="2"/>
    <x v="0"/>
    <n v="50"/>
  </r>
  <r>
    <x v="2"/>
    <x v="0"/>
    <x v="3"/>
    <x v="4"/>
    <x v="1"/>
    <x v="4"/>
    <x v="2"/>
    <x v="0"/>
    <n v="76"/>
    <x v="0"/>
    <x v="0"/>
    <x v="0"/>
    <x v="0"/>
    <n v="50"/>
    <x v="0"/>
    <x v="2"/>
    <x v="1"/>
    <n v="50"/>
  </r>
  <r>
    <x v="2"/>
    <x v="2"/>
    <x v="3"/>
    <x v="3"/>
    <x v="2"/>
    <x v="1"/>
    <x v="2"/>
    <x v="1"/>
    <n v="80"/>
    <x v="0"/>
    <x v="0"/>
    <x v="0"/>
    <x v="0"/>
    <n v="80"/>
    <x v="1"/>
    <x v="2"/>
    <x v="0"/>
    <n v="-80"/>
  </r>
  <r>
    <x v="2"/>
    <x v="2"/>
    <x v="3"/>
    <x v="3"/>
    <x v="2"/>
    <x v="1"/>
    <x v="2"/>
    <x v="1"/>
    <n v="80"/>
    <x v="0"/>
    <x v="0"/>
    <x v="0"/>
    <x v="0"/>
    <n v="80"/>
    <x v="1"/>
    <x v="2"/>
    <x v="1"/>
    <n v="-50"/>
  </r>
  <r>
    <x v="2"/>
    <x v="2"/>
    <x v="3"/>
    <x v="3"/>
    <x v="2"/>
    <x v="1"/>
    <x v="2"/>
    <x v="1"/>
    <n v="80"/>
    <x v="0"/>
    <x v="0"/>
    <x v="0"/>
    <x v="0"/>
    <n v="80"/>
    <x v="1"/>
    <x v="0"/>
    <x v="1"/>
    <n v="40"/>
  </r>
  <r>
    <x v="2"/>
    <x v="2"/>
    <x v="3"/>
    <x v="3"/>
    <x v="2"/>
    <x v="1"/>
    <x v="2"/>
    <x v="1"/>
    <n v="80"/>
    <x v="0"/>
    <x v="0"/>
    <x v="0"/>
    <x v="0"/>
    <n v="80"/>
    <x v="1"/>
    <x v="1"/>
    <x v="1"/>
    <n v="40"/>
  </r>
  <r>
    <x v="2"/>
    <x v="0"/>
    <x v="4"/>
    <x v="3"/>
    <x v="2"/>
    <x v="1"/>
    <x v="0"/>
    <x v="1"/>
    <n v="62"/>
    <x v="0"/>
    <x v="0"/>
    <x v="0"/>
    <x v="0"/>
    <n v="62"/>
    <x v="1"/>
    <x v="1"/>
    <x v="1"/>
    <n v="40"/>
  </r>
  <r>
    <x v="2"/>
    <x v="0"/>
    <x v="4"/>
    <x v="3"/>
    <x v="2"/>
    <x v="1"/>
    <x v="0"/>
    <x v="1"/>
    <n v="62"/>
    <x v="0"/>
    <x v="0"/>
    <x v="0"/>
    <x v="0"/>
    <n v="62"/>
    <x v="1"/>
    <x v="2"/>
    <x v="1"/>
    <n v="40"/>
  </r>
  <r>
    <x v="2"/>
    <x v="0"/>
    <x v="4"/>
    <x v="3"/>
    <x v="2"/>
    <x v="1"/>
    <x v="0"/>
    <x v="1"/>
    <n v="62"/>
    <x v="0"/>
    <x v="0"/>
    <x v="0"/>
    <x v="0"/>
    <n v="62"/>
    <x v="1"/>
    <x v="0"/>
    <x v="0"/>
    <n v="-62"/>
  </r>
  <r>
    <x v="2"/>
    <x v="0"/>
    <x v="4"/>
    <x v="3"/>
    <x v="2"/>
    <x v="1"/>
    <x v="0"/>
    <x v="1"/>
    <n v="62"/>
    <x v="0"/>
    <x v="0"/>
    <x v="0"/>
    <x v="0"/>
    <n v="62"/>
    <x v="1"/>
    <x v="0"/>
    <x v="1"/>
    <n v="-50"/>
  </r>
  <r>
    <x v="2"/>
    <x v="1"/>
    <x v="4"/>
    <x v="3"/>
    <x v="2"/>
    <x v="1"/>
    <x v="0"/>
    <x v="1"/>
    <n v="61"/>
    <x v="0"/>
    <x v="0"/>
    <x v="0"/>
    <x v="0"/>
    <n v="61"/>
    <x v="1"/>
    <x v="2"/>
    <x v="1"/>
    <n v="40"/>
  </r>
  <r>
    <x v="2"/>
    <x v="1"/>
    <x v="4"/>
    <x v="3"/>
    <x v="2"/>
    <x v="1"/>
    <x v="0"/>
    <x v="1"/>
    <n v="61"/>
    <x v="0"/>
    <x v="0"/>
    <x v="0"/>
    <x v="0"/>
    <n v="61"/>
    <x v="1"/>
    <x v="1"/>
    <x v="1"/>
    <n v="40"/>
  </r>
  <r>
    <x v="2"/>
    <x v="1"/>
    <x v="4"/>
    <x v="3"/>
    <x v="2"/>
    <x v="1"/>
    <x v="0"/>
    <x v="1"/>
    <n v="61"/>
    <x v="0"/>
    <x v="0"/>
    <x v="0"/>
    <x v="0"/>
    <n v="61"/>
    <x v="1"/>
    <x v="0"/>
    <x v="0"/>
    <n v="-61"/>
  </r>
  <r>
    <x v="2"/>
    <x v="1"/>
    <x v="4"/>
    <x v="3"/>
    <x v="2"/>
    <x v="1"/>
    <x v="0"/>
    <x v="1"/>
    <n v="61"/>
    <x v="0"/>
    <x v="0"/>
    <x v="0"/>
    <x v="0"/>
    <n v="61"/>
    <x v="1"/>
    <x v="0"/>
    <x v="1"/>
    <n v="-50"/>
  </r>
  <r>
    <x v="2"/>
    <x v="2"/>
    <x v="4"/>
    <x v="4"/>
    <x v="8"/>
    <x v="1"/>
    <x v="0"/>
    <x v="1"/>
    <n v="59"/>
    <x v="0"/>
    <x v="0"/>
    <x v="0"/>
    <x v="0"/>
    <n v="30"/>
    <x v="2"/>
    <x v="2"/>
    <x v="1"/>
    <n v="40"/>
  </r>
  <r>
    <x v="2"/>
    <x v="2"/>
    <x v="4"/>
    <x v="4"/>
    <x v="8"/>
    <x v="1"/>
    <x v="0"/>
    <x v="1"/>
    <n v="59"/>
    <x v="0"/>
    <x v="0"/>
    <x v="0"/>
    <x v="0"/>
    <n v="30"/>
    <x v="2"/>
    <x v="0"/>
    <x v="0"/>
    <n v="-60"/>
  </r>
  <r>
    <x v="2"/>
    <x v="2"/>
    <x v="4"/>
    <x v="4"/>
    <x v="8"/>
    <x v="1"/>
    <x v="0"/>
    <x v="1"/>
    <n v="59"/>
    <x v="0"/>
    <x v="0"/>
    <x v="0"/>
    <x v="0"/>
    <n v="30"/>
    <x v="2"/>
    <x v="0"/>
    <x v="1"/>
    <n v="-50"/>
  </r>
  <r>
    <x v="2"/>
    <x v="2"/>
    <x v="4"/>
    <x v="4"/>
    <x v="8"/>
    <x v="1"/>
    <x v="0"/>
    <x v="1"/>
    <n v="59"/>
    <x v="0"/>
    <x v="0"/>
    <x v="0"/>
    <x v="0"/>
    <n v="30"/>
    <x v="2"/>
    <x v="1"/>
    <x v="1"/>
    <n v="40"/>
  </r>
  <r>
    <x v="2"/>
    <x v="1"/>
    <x v="5"/>
    <x v="3"/>
    <x v="2"/>
    <x v="1"/>
    <x v="1"/>
    <x v="1"/>
    <n v="86"/>
    <x v="0"/>
    <x v="0"/>
    <x v="0"/>
    <x v="0"/>
    <n v="86"/>
    <x v="1"/>
    <x v="2"/>
    <x v="1"/>
    <n v="40"/>
  </r>
  <r>
    <x v="2"/>
    <x v="1"/>
    <x v="5"/>
    <x v="3"/>
    <x v="2"/>
    <x v="1"/>
    <x v="1"/>
    <x v="1"/>
    <n v="86"/>
    <x v="0"/>
    <x v="0"/>
    <x v="0"/>
    <x v="0"/>
    <n v="86"/>
    <x v="1"/>
    <x v="1"/>
    <x v="0"/>
    <n v="-86"/>
  </r>
  <r>
    <x v="2"/>
    <x v="1"/>
    <x v="5"/>
    <x v="3"/>
    <x v="2"/>
    <x v="1"/>
    <x v="1"/>
    <x v="1"/>
    <n v="86"/>
    <x v="0"/>
    <x v="0"/>
    <x v="0"/>
    <x v="0"/>
    <n v="86"/>
    <x v="1"/>
    <x v="1"/>
    <x v="1"/>
    <n v="-50"/>
  </r>
  <r>
    <x v="2"/>
    <x v="1"/>
    <x v="5"/>
    <x v="3"/>
    <x v="2"/>
    <x v="1"/>
    <x v="1"/>
    <x v="1"/>
    <n v="86"/>
    <x v="0"/>
    <x v="0"/>
    <x v="0"/>
    <x v="0"/>
    <n v="86"/>
    <x v="1"/>
    <x v="0"/>
    <x v="1"/>
    <n v="40"/>
  </r>
  <r>
    <x v="2"/>
    <x v="0"/>
    <x v="5"/>
    <x v="4"/>
    <x v="4"/>
    <x v="1"/>
    <x v="0"/>
    <x v="1"/>
    <n v="69"/>
    <x v="0"/>
    <x v="0"/>
    <x v="0"/>
    <x v="1"/>
    <n v="20"/>
    <x v="2"/>
    <x v="1"/>
    <x v="1"/>
    <n v="40"/>
  </r>
  <r>
    <x v="2"/>
    <x v="0"/>
    <x v="5"/>
    <x v="4"/>
    <x v="4"/>
    <x v="1"/>
    <x v="0"/>
    <x v="1"/>
    <n v="69"/>
    <x v="0"/>
    <x v="0"/>
    <x v="0"/>
    <x v="1"/>
    <n v="20"/>
    <x v="2"/>
    <x v="2"/>
    <x v="1"/>
    <n v="40"/>
  </r>
  <r>
    <x v="2"/>
    <x v="0"/>
    <x v="5"/>
    <x v="4"/>
    <x v="4"/>
    <x v="1"/>
    <x v="0"/>
    <x v="1"/>
    <n v="69"/>
    <x v="0"/>
    <x v="0"/>
    <x v="0"/>
    <x v="1"/>
    <n v="20"/>
    <x v="2"/>
    <x v="0"/>
    <x v="0"/>
    <n v="-40"/>
  </r>
  <r>
    <x v="2"/>
    <x v="0"/>
    <x v="5"/>
    <x v="4"/>
    <x v="4"/>
    <x v="1"/>
    <x v="0"/>
    <x v="1"/>
    <n v="69"/>
    <x v="0"/>
    <x v="0"/>
    <x v="0"/>
    <x v="1"/>
    <n v="20"/>
    <x v="2"/>
    <x v="0"/>
    <x v="1"/>
    <n v="-50"/>
  </r>
  <r>
    <x v="2"/>
    <x v="2"/>
    <x v="5"/>
    <x v="0"/>
    <x v="0"/>
    <x v="4"/>
    <x v="2"/>
    <x v="0"/>
    <n v="84"/>
    <x v="0"/>
    <x v="0"/>
    <x v="0"/>
    <x v="0"/>
    <n v="144"/>
    <x v="0"/>
    <x v="2"/>
    <x v="0"/>
    <n v="144"/>
  </r>
  <r>
    <x v="2"/>
    <x v="2"/>
    <x v="5"/>
    <x v="0"/>
    <x v="0"/>
    <x v="4"/>
    <x v="2"/>
    <x v="0"/>
    <n v="84"/>
    <x v="0"/>
    <x v="0"/>
    <x v="0"/>
    <x v="0"/>
    <n v="144"/>
    <x v="0"/>
    <x v="2"/>
    <x v="1"/>
    <n v="50"/>
  </r>
  <r>
    <x v="2"/>
    <x v="2"/>
    <x v="6"/>
    <x v="0"/>
    <x v="4"/>
    <x v="1"/>
    <x v="0"/>
    <x v="0"/>
    <n v="70"/>
    <x v="0"/>
    <x v="0"/>
    <x v="0"/>
    <x v="0"/>
    <n v="48"/>
    <x v="0"/>
    <x v="0"/>
    <x v="0"/>
    <n v="48"/>
  </r>
  <r>
    <x v="2"/>
    <x v="2"/>
    <x v="6"/>
    <x v="0"/>
    <x v="4"/>
    <x v="1"/>
    <x v="0"/>
    <x v="0"/>
    <n v="70"/>
    <x v="0"/>
    <x v="0"/>
    <x v="0"/>
    <x v="0"/>
    <n v="48"/>
    <x v="0"/>
    <x v="0"/>
    <x v="1"/>
    <n v="50"/>
  </r>
  <r>
    <x v="2"/>
    <x v="1"/>
    <x v="6"/>
    <x v="0"/>
    <x v="4"/>
    <x v="1"/>
    <x v="0"/>
    <x v="0"/>
    <n v="81"/>
    <x v="0"/>
    <x v="0"/>
    <x v="0"/>
    <x v="0"/>
    <n v="48"/>
    <x v="0"/>
    <x v="0"/>
    <x v="0"/>
    <n v="48"/>
  </r>
  <r>
    <x v="2"/>
    <x v="1"/>
    <x v="6"/>
    <x v="0"/>
    <x v="4"/>
    <x v="1"/>
    <x v="0"/>
    <x v="0"/>
    <n v="81"/>
    <x v="0"/>
    <x v="0"/>
    <x v="0"/>
    <x v="0"/>
    <n v="48"/>
    <x v="0"/>
    <x v="0"/>
    <x v="1"/>
    <n v="50"/>
  </r>
  <r>
    <x v="2"/>
    <x v="0"/>
    <x v="6"/>
    <x v="4"/>
    <x v="4"/>
    <x v="1"/>
    <x v="1"/>
    <x v="0"/>
    <n v="68"/>
    <x v="0"/>
    <x v="0"/>
    <x v="0"/>
    <x v="0"/>
    <n v="20"/>
    <x v="0"/>
    <x v="1"/>
    <x v="0"/>
    <n v="20"/>
  </r>
  <r>
    <x v="2"/>
    <x v="0"/>
    <x v="6"/>
    <x v="4"/>
    <x v="4"/>
    <x v="1"/>
    <x v="1"/>
    <x v="0"/>
    <n v="68"/>
    <x v="0"/>
    <x v="0"/>
    <x v="0"/>
    <x v="0"/>
    <n v="20"/>
    <x v="0"/>
    <x v="1"/>
    <x v="1"/>
    <n v="50"/>
  </r>
  <r>
    <x v="2"/>
    <x v="1"/>
    <x v="7"/>
    <x v="0"/>
    <x v="6"/>
    <x v="1"/>
    <x v="0"/>
    <x v="0"/>
    <n v="77"/>
    <x v="0"/>
    <x v="0"/>
    <x v="0"/>
    <x v="0"/>
    <n v="72"/>
    <x v="0"/>
    <x v="0"/>
    <x v="0"/>
    <n v="72"/>
  </r>
  <r>
    <x v="2"/>
    <x v="1"/>
    <x v="7"/>
    <x v="0"/>
    <x v="6"/>
    <x v="1"/>
    <x v="0"/>
    <x v="0"/>
    <n v="77"/>
    <x v="0"/>
    <x v="0"/>
    <x v="0"/>
    <x v="0"/>
    <n v="72"/>
    <x v="0"/>
    <x v="0"/>
    <x v="1"/>
    <n v="50"/>
  </r>
  <r>
    <x v="2"/>
    <x v="0"/>
    <x v="7"/>
    <x v="6"/>
    <x v="6"/>
    <x v="1"/>
    <x v="1"/>
    <x v="1"/>
    <n v="52"/>
    <x v="0"/>
    <x v="0"/>
    <x v="0"/>
    <x v="0"/>
    <n v="27"/>
    <x v="2"/>
    <x v="1"/>
    <x v="0"/>
    <n v="-54"/>
  </r>
  <r>
    <x v="2"/>
    <x v="0"/>
    <x v="7"/>
    <x v="6"/>
    <x v="6"/>
    <x v="1"/>
    <x v="1"/>
    <x v="1"/>
    <n v="52"/>
    <x v="0"/>
    <x v="0"/>
    <x v="0"/>
    <x v="0"/>
    <n v="27"/>
    <x v="2"/>
    <x v="1"/>
    <x v="1"/>
    <n v="-50"/>
  </r>
  <r>
    <x v="2"/>
    <x v="0"/>
    <x v="7"/>
    <x v="6"/>
    <x v="6"/>
    <x v="1"/>
    <x v="1"/>
    <x v="1"/>
    <n v="52"/>
    <x v="0"/>
    <x v="0"/>
    <x v="0"/>
    <x v="0"/>
    <n v="27"/>
    <x v="2"/>
    <x v="2"/>
    <x v="1"/>
    <n v="40"/>
  </r>
  <r>
    <x v="2"/>
    <x v="0"/>
    <x v="7"/>
    <x v="6"/>
    <x v="6"/>
    <x v="1"/>
    <x v="1"/>
    <x v="1"/>
    <n v="52"/>
    <x v="0"/>
    <x v="0"/>
    <x v="0"/>
    <x v="0"/>
    <n v="27"/>
    <x v="2"/>
    <x v="0"/>
    <x v="1"/>
    <n v="40"/>
  </r>
  <r>
    <x v="2"/>
    <x v="2"/>
    <x v="7"/>
    <x v="1"/>
    <x v="4"/>
    <x v="0"/>
    <x v="2"/>
    <x v="0"/>
    <n v="102"/>
    <x v="0"/>
    <x v="0"/>
    <x v="0"/>
    <x v="0"/>
    <n v="33"/>
    <x v="0"/>
    <x v="2"/>
    <x v="0"/>
    <n v="33"/>
  </r>
  <r>
    <x v="2"/>
    <x v="2"/>
    <x v="7"/>
    <x v="1"/>
    <x v="4"/>
    <x v="0"/>
    <x v="2"/>
    <x v="0"/>
    <n v="102"/>
    <x v="0"/>
    <x v="0"/>
    <x v="0"/>
    <x v="0"/>
    <n v="33"/>
    <x v="0"/>
    <x v="2"/>
    <x v="1"/>
    <n v="50"/>
  </r>
  <r>
    <x v="2"/>
    <x v="0"/>
    <x v="8"/>
    <x v="2"/>
    <x v="2"/>
    <x v="1"/>
    <x v="0"/>
    <x v="1"/>
    <m/>
    <x v="0"/>
    <x v="0"/>
    <x v="0"/>
    <x v="0"/>
    <n v="23"/>
    <x v="2"/>
    <x v="1"/>
    <x v="1"/>
    <n v="40"/>
  </r>
  <r>
    <x v="2"/>
    <x v="0"/>
    <x v="8"/>
    <x v="2"/>
    <x v="2"/>
    <x v="1"/>
    <x v="0"/>
    <x v="1"/>
    <m/>
    <x v="0"/>
    <x v="0"/>
    <x v="0"/>
    <x v="0"/>
    <n v="23"/>
    <x v="2"/>
    <x v="2"/>
    <x v="1"/>
    <n v="40"/>
  </r>
  <r>
    <x v="2"/>
    <x v="0"/>
    <x v="8"/>
    <x v="2"/>
    <x v="2"/>
    <x v="1"/>
    <x v="0"/>
    <x v="1"/>
    <m/>
    <x v="0"/>
    <x v="0"/>
    <x v="0"/>
    <x v="0"/>
    <n v="23"/>
    <x v="2"/>
    <x v="0"/>
    <x v="0"/>
    <n v="-46"/>
  </r>
  <r>
    <x v="2"/>
    <x v="0"/>
    <x v="8"/>
    <x v="2"/>
    <x v="2"/>
    <x v="1"/>
    <x v="0"/>
    <x v="1"/>
    <m/>
    <x v="0"/>
    <x v="0"/>
    <x v="0"/>
    <x v="0"/>
    <n v="23"/>
    <x v="2"/>
    <x v="0"/>
    <x v="1"/>
    <n v="-50"/>
  </r>
  <r>
    <x v="2"/>
    <x v="2"/>
    <x v="8"/>
    <x v="1"/>
    <x v="5"/>
    <x v="1"/>
    <x v="0"/>
    <x v="0"/>
    <n v="77"/>
    <x v="0"/>
    <x v="0"/>
    <x v="0"/>
    <x v="0"/>
    <n v="22"/>
    <x v="0"/>
    <x v="0"/>
    <x v="0"/>
    <n v="22"/>
  </r>
  <r>
    <x v="2"/>
    <x v="2"/>
    <x v="8"/>
    <x v="1"/>
    <x v="5"/>
    <x v="1"/>
    <x v="0"/>
    <x v="0"/>
    <n v="77"/>
    <x v="0"/>
    <x v="0"/>
    <x v="0"/>
    <x v="0"/>
    <n v="22"/>
    <x v="0"/>
    <x v="0"/>
    <x v="1"/>
    <n v="50"/>
  </r>
  <r>
    <x v="2"/>
    <x v="1"/>
    <x v="8"/>
    <x v="2"/>
    <x v="2"/>
    <x v="1"/>
    <x v="2"/>
    <x v="0"/>
    <m/>
    <x v="0"/>
    <x v="0"/>
    <x v="0"/>
    <x v="0"/>
    <n v="23"/>
    <x v="0"/>
    <x v="2"/>
    <x v="0"/>
    <n v="23"/>
  </r>
  <r>
    <x v="2"/>
    <x v="1"/>
    <x v="8"/>
    <x v="2"/>
    <x v="2"/>
    <x v="1"/>
    <x v="2"/>
    <x v="0"/>
    <m/>
    <x v="0"/>
    <x v="0"/>
    <x v="0"/>
    <x v="0"/>
    <n v="23"/>
    <x v="0"/>
    <x v="2"/>
    <x v="1"/>
    <n v="50"/>
  </r>
  <r>
    <x v="2"/>
    <x v="1"/>
    <x v="9"/>
    <x v="0"/>
    <x v="4"/>
    <x v="1"/>
    <x v="0"/>
    <x v="0"/>
    <n v="79"/>
    <x v="0"/>
    <x v="0"/>
    <x v="0"/>
    <x v="0"/>
    <n v="48"/>
    <x v="0"/>
    <x v="0"/>
    <x v="0"/>
    <n v="48"/>
  </r>
  <r>
    <x v="2"/>
    <x v="1"/>
    <x v="9"/>
    <x v="0"/>
    <x v="4"/>
    <x v="1"/>
    <x v="0"/>
    <x v="0"/>
    <n v="79"/>
    <x v="0"/>
    <x v="0"/>
    <x v="0"/>
    <x v="0"/>
    <n v="48"/>
    <x v="0"/>
    <x v="0"/>
    <x v="1"/>
    <n v="50"/>
  </r>
  <r>
    <x v="2"/>
    <x v="2"/>
    <x v="9"/>
    <x v="4"/>
    <x v="5"/>
    <x v="1"/>
    <x v="1"/>
    <x v="1"/>
    <n v="50"/>
    <x v="0"/>
    <x v="0"/>
    <x v="0"/>
    <x v="0"/>
    <n v="20"/>
    <x v="2"/>
    <x v="2"/>
    <x v="1"/>
    <n v="40"/>
  </r>
  <r>
    <x v="2"/>
    <x v="2"/>
    <x v="9"/>
    <x v="4"/>
    <x v="5"/>
    <x v="1"/>
    <x v="1"/>
    <x v="1"/>
    <n v="50"/>
    <x v="0"/>
    <x v="0"/>
    <x v="0"/>
    <x v="0"/>
    <n v="20"/>
    <x v="2"/>
    <x v="0"/>
    <x v="1"/>
    <n v="40"/>
  </r>
  <r>
    <x v="2"/>
    <x v="2"/>
    <x v="9"/>
    <x v="4"/>
    <x v="5"/>
    <x v="1"/>
    <x v="1"/>
    <x v="1"/>
    <n v="50"/>
    <x v="0"/>
    <x v="0"/>
    <x v="0"/>
    <x v="0"/>
    <n v="20"/>
    <x v="2"/>
    <x v="1"/>
    <x v="0"/>
    <n v="-40"/>
  </r>
  <r>
    <x v="2"/>
    <x v="2"/>
    <x v="9"/>
    <x v="4"/>
    <x v="5"/>
    <x v="1"/>
    <x v="1"/>
    <x v="1"/>
    <n v="50"/>
    <x v="0"/>
    <x v="0"/>
    <x v="0"/>
    <x v="0"/>
    <n v="20"/>
    <x v="2"/>
    <x v="1"/>
    <x v="1"/>
    <n v="-50"/>
  </r>
  <r>
    <x v="2"/>
    <x v="0"/>
    <x v="9"/>
    <x v="4"/>
    <x v="5"/>
    <x v="1"/>
    <x v="1"/>
    <x v="0"/>
    <n v="82"/>
    <x v="0"/>
    <x v="0"/>
    <x v="0"/>
    <x v="0"/>
    <n v="20"/>
    <x v="0"/>
    <x v="1"/>
    <x v="0"/>
    <n v="20"/>
  </r>
  <r>
    <x v="2"/>
    <x v="0"/>
    <x v="9"/>
    <x v="4"/>
    <x v="5"/>
    <x v="1"/>
    <x v="1"/>
    <x v="0"/>
    <n v="82"/>
    <x v="0"/>
    <x v="0"/>
    <x v="0"/>
    <x v="0"/>
    <n v="20"/>
    <x v="0"/>
    <x v="1"/>
    <x v="1"/>
    <n v="50"/>
  </r>
  <r>
    <x v="2"/>
    <x v="2"/>
    <x v="10"/>
    <x v="4"/>
    <x v="4"/>
    <x v="1"/>
    <x v="1"/>
    <x v="0"/>
    <n v="61"/>
    <x v="0"/>
    <x v="0"/>
    <x v="0"/>
    <x v="0"/>
    <n v="20"/>
    <x v="0"/>
    <x v="1"/>
    <x v="0"/>
    <n v="20"/>
  </r>
  <r>
    <x v="2"/>
    <x v="2"/>
    <x v="10"/>
    <x v="4"/>
    <x v="4"/>
    <x v="1"/>
    <x v="1"/>
    <x v="0"/>
    <n v="61"/>
    <x v="0"/>
    <x v="0"/>
    <x v="0"/>
    <x v="0"/>
    <n v="20"/>
    <x v="0"/>
    <x v="1"/>
    <x v="1"/>
    <n v="50"/>
  </r>
  <r>
    <x v="2"/>
    <x v="0"/>
    <x v="10"/>
    <x v="2"/>
    <x v="2"/>
    <x v="2"/>
    <x v="1"/>
    <x v="0"/>
    <m/>
    <x v="0"/>
    <x v="0"/>
    <x v="0"/>
    <x v="0"/>
    <n v="46"/>
    <x v="0"/>
    <x v="1"/>
    <x v="0"/>
    <n v="46"/>
  </r>
  <r>
    <x v="2"/>
    <x v="0"/>
    <x v="10"/>
    <x v="2"/>
    <x v="2"/>
    <x v="2"/>
    <x v="1"/>
    <x v="0"/>
    <m/>
    <x v="0"/>
    <x v="0"/>
    <x v="0"/>
    <x v="0"/>
    <n v="46"/>
    <x v="0"/>
    <x v="1"/>
    <x v="1"/>
    <n v="50"/>
  </r>
  <r>
    <x v="2"/>
    <x v="1"/>
    <x v="10"/>
    <x v="6"/>
    <x v="0"/>
    <x v="0"/>
    <x v="2"/>
    <x v="0"/>
    <n v="92"/>
    <x v="0"/>
    <x v="0"/>
    <x v="0"/>
    <x v="0"/>
    <n v="54"/>
    <x v="0"/>
    <x v="2"/>
    <x v="0"/>
    <n v="54"/>
  </r>
  <r>
    <x v="2"/>
    <x v="1"/>
    <x v="10"/>
    <x v="6"/>
    <x v="0"/>
    <x v="0"/>
    <x v="2"/>
    <x v="0"/>
    <n v="92"/>
    <x v="0"/>
    <x v="0"/>
    <x v="0"/>
    <x v="0"/>
    <n v="54"/>
    <x v="0"/>
    <x v="2"/>
    <x v="1"/>
    <n v="50"/>
  </r>
  <r>
    <x v="2"/>
    <x v="1"/>
    <x v="11"/>
    <x v="4"/>
    <x v="4"/>
    <x v="1"/>
    <x v="2"/>
    <x v="0"/>
    <n v="76"/>
    <x v="0"/>
    <x v="0"/>
    <x v="0"/>
    <x v="0"/>
    <n v="20"/>
    <x v="0"/>
    <x v="2"/>
    <x v="0"/>
    <n v="20"/>
  </r>
  <r>
    <x v="2"/>
    <x v="1"/>
    <x v="11"/>
    <x v="4"/>
    <x v="4"/>
    <x v="1"/>
    <x v="2"/>
    <x v="0"/>
    <n v="76"/>
    <x v="0"/>
    <x v="0"/>
    <x v="0"/>
    <x v="0"/>
    <n v="20"/>
    <x v="0"/>
    <x v="2"/>
    <x v="1"/>
    <n v="50"/>
  </r>
  <r>
    <x v="2"/>
    <x v="0"/>
    <x v="11"/>
    <x v="6"/>
    <x v="7"/>
    <x v="1"/>
    <x v="0"/>
    <x v="1"/>
    <n v="59"/>
    <x v="0"/>
    <x v="0"/>
    <x v="0"/>
    <x v="0"/>
    <n v="36"/>
    <x v="2"/>
    <x v="1"/>
    <x v="1"/>
    <n v="40"/>
  </r>
  <r>
    <x v="2"/>
    <x v="0"/>
    <x v="11"/>
    <x v="6"/>
    <x v="7"/>
    <x v="1"/>
    <x v="0"/>
    <x v="1"/>
    <n v="59"/>
    <x v="0"/>
    <x v="0"/>
    <x v="0"/>
    <x v="0"/>
    <n v="36"/>
    <x v="2"/>
    <x v="2"/>
    <x v="1"/>
    <n v="40"/>
  </r>
  <r>
    <x v="2"/>
    <x v="0"/>
    <x v="11"/>
    <x v="6"/>
    <x v="7"/>
    <x v="1"/>
    <x v="0"/>
    <x v="1"/>
    <n v="59"/>
    <x v="0"/>
    <x v="0"/>
    <x v="0"/>
    <x v="0"/>
    <n v="36"/>
    <x v="2"/>
    <x v="0"/>
    <x v="0"/>
    <n v="-72"/>
  </r>
  <r>
    <x v="2"/>
    <x v="0"/>
    <x v="11"/>
    <x v="6"/>
    <x v="7"/>
    <x v="1"/>
    <x v="0"/>
    <x v="1"/>
    <n v="59"/>
    <x v="0"/>
    <x v="0"/>
    <x v="0"/>
    <x v="0"/>
    <n v="36"/>
    <x v="2"/>
    <x v="0"/>
    <x v="1"/>
    <n v="-50"/>
  </r>
  <r>
    <x v="2"/>
    <x v="2"/>
    <x v="11"/>
    <x v="6"/>
    <x v="6"/>
    <x v="1"/>
    <x v="0"/>
    <x v="1"/>
    <n v="59"/>
    <x v="0"/>
    <x v="0"/>
    <x v="0"/>
    <x v="0"/>
    <n v="27"/>
    <x v="2"/>
    <x v="2"/>
    <x v="1"/>
    <n v="40"/>
  </r>
  <r>
    <x v="2"/>
    <x v="2"/>
    <x v="11"/>
    <x v="6"/>
    <x v="6"/>
    <x v="1"/>
    <x v="0"/>
    <x v="1"/>
    <n v="59"/>
    <x v="0"/>
    <x v="0"/>
    <x v="0"/>
    <x v="0"/>
    <n v="27"/>
    <x v="2"/>
    <x v="0"/>
    <x v="0"/>
    <n v="-54"/>
  </r>
  <r>
    <x v="2"/>
    <x v="2"/>
    <x v="11"/>
    <x v="6"/>
    <x v="6"/>
    <x v="1"/>
    <x v="0"/>
    <x v="1"/>
    <n v="59"/>
    <x v="0"/>
    <x v="0"/>
    <x v="0"/>
    <x v="0"/>
    <n v="27"/>
    <x v="2"/>
    <x v="0"/>
    <x v="1"/>
    <n v="-50"/>
  </r>
  <r>
    <x v="2"/>
    <x v="2"/>
    <x v="11"/>
    <x v="6"/>
    <x v="6"/>
    <x v="1"/>
    <x v="0"/>
    <x v="1"/>
    <n v="59"/>
    <x v="0"/>
    <x v="0"/>
    <x v="0"/>
    <x v="0"/>
    <n v="27"/>
    <x v="2"/>
    <x v="1"/>
    <x v="1"/>
    <n v="40"/>
  </r>
  <r>
    <x v="2"/>
    <x v="1"/>
    <x v="12"/>
    <x v="0"/>
    <x v="1"/>
    <x v="3"/>
    <x v="0"/>
    <x v="0"/>
    <n v="120"/>
    <x v="0"/>
    <x v="0"/>
    <x v="0"/>
    <x v="0"/>
    <n v="144"/>
    <x v="0"/>
    <x v="0"/>
    <x v="0"/>
    <n v="144"/>
  </r>
  <r>
    <x v="2"/>
    <x v="1"/>
    <x v="12"/>
    <x v="0"/>
    <x v="1"/>
    <x v="3"/>
    <x v="0"/>
    <x v="0"/>
    <n v="120"/>
    <x v="0"/>
    <x v="0"/>
    <x v="0"/>
    <x v="0"/>
    <n v="144"/>
    <x v="0"/>
    <x v="0"/>
    <x v="1"/>
    <n v="50"/>
  </r>
  <r>
    <x v="2"/>
    <x v="0"/>
    <x v="12"/>
    <x v="1"/>
    <x v="5"/>
    <x v="1"/>
    <x v="1"/>
    <x v="0"/>
    <n v="85"/>
    <x v="0"/>
    <x v="0"/>
    <x v="0"/>
    <x v="0"/>
    <n v="22"/>
    <x v="0"/>
    <x v="1"/>
    <x v="0"/>
    <n v="22"/>
  </r>
  <r>
    <x v="2"/>
    <x v="0"/>
    <x v="12"/>
    <x v="1"/>
    <x v="5"/>
    <x v="1"/>
    <x v="1"/>
    <x v="0"/>
    <n v="85"/>
    <x v="0"/>
    <x v="0"/>
    <x v="0"/>
    <x v="0"/>
    <n v="22"/>
    <x v="0"/>
    <x v="1"/>
    <x v="1"/>
    <n v="50"/>
  </r>
  <r>
    <x v="2"/>
    <x v="2"/>
    <x v="12"/>
    <x v="6"/>
    <x v="4"/>
    <x v="1"/>
    <x v="2"/>
    <x v="1"/>
    <n v="59"/>
    <x v="0"/>
    <x v="0"/>
    <x v="0"/>
    <x v="0"/>
    <n v="18"/>
    <x v="2"/>
    <x v="2"/>
    <x v="0"/>
    <n v="-36"/>
  </r>
  <r>
    <x v="2"/>
    <x v="2"/>
    <x v="12"/>
    <x v="6"/>
    <x v="4"/>
    <x v="1"/>
    <x v="2"/>
    <x v="1"/>
    <n v="59"/>
    <x v="0"/>
    <x v="0"/>
    <x v="0"/>
    <x v="0"/>
    <n v="18"/>
    <x v="2"/>
    <x v="2"/>
    <x v="1"/>
    <n v="-50"/>
  </r>
  <r>
    <x v="2"/>
    <x v="2"/>
    <x v="12"/>
    <x v="6"/>
    <x v="4"/>
    <x v="1"/>
    <x v="2"/>
    <x v="1"/>
    <n v="59"/>
    <x v="0"/>
    <x v="0"/>
    <x v="0"/>
    <x v="0"/>
    <n v="18"/>
    <x v="2"/>
    <x v="0"/>
    <x v="1"/>
    <n v="40"/>
  </r>
  <r>
    <x v="2"/>
    <x v="2"/>
    <x v="12"/>
    <x v="6"/>
    <x v="4"/>
    <x v="1"/>
    <x v="2"/>
    <x v="1"/>
    <n v="59"/>
    <x v="0"/>
    <x v="0"/>
    <x v="0"/>
    <x v="0"/>
    <n v="18"/>
    <x v="2"/>
    <x v="1"/>
    <x v="1"/>
    <n v="40"/>
  </r>
  <r>
    <x v="2"/>
    <x v="2"/>
    <x v="13"/>
    <x v="6"/>
    <x v="7"/>
    <x v="4"/>
    <x v="1"/>
    <x v="0"/>
    <n v="73"/>
    <x v="0"/>
    <x v="0"/>
    <x v="0"/>
    <x v="0"/>
    <n v="45"/>
    <x v="0"/>
    <x v="1"/>
    <x v="0"/>
    <n v="45"/>
  </r>
  <r>
    <x v="2"/>
    <x v="2"/>
    <x v="13"/>
    <x v="6"/>
    <x v="7"/>
    <x v="4"/>
    <x v="1"/>
    <x v="0"/>
    <n v="73"/>
    <x v="0"/>
    <x v="0"/>
    <x v="0"/>
    <x v="0"/>
    <n v="45"/>
    <x v="0"/>
    <x v="1"/>
    <x v="1"/>
    <n v="50"/>
  </r>
  <r>
    <x v="2"/>
    <x v="1"/>
    <x v="13"/>
    <x v="6"/>
    <x v="8"/>
    <x v="1"/>
    <x v="1"/>
    <x v="0"/>
    <n v="66"/>
    <x v="0"/>
    <x v="0"/>
    <x v="0"/>
    <x v="0"/>
    <n v="27"/>
    <x v="0"/>
    <x v="1"/>
    <x v="0"/>
    <n v="27"/>
  </r>
  <r>
    <x v="2"/>
    <x v="1"/>
    <x v="13"/>
    <x v="6"/>
    <x v="8"/>
    <x v="1"/>
    <x v="1"/>
    <x v="0"/>
    <n v="66"/>
    <x v="0"/>
    <x v="0"/>
    <x v="0"/>
    <x v="0"/>
    <n v="27"/>
    <x v="0"/>
    <x v="1"/>
    <x v="1"/>
    <n v="50"/>
  </r>
  <r>
    <x v="2"/>
    <x v="0"/>
    <x v="13"/>
    <x v="0"/>
    <x v="4"/>
    <x v="0"/>
    <x v="0"/>
    <x v="0"/>
    <n v="91"/>
    <x v="0"/>
    <x v="0"/>
    <x v="0"/>
    <x v="0"/>
    <n v="72"/>
    <x v="0"/>
    <x v="0"/>
    <x v="0"/>
    <n v="72"/>
  </r>
  <r>
    <x v="2"/>
    <x v="0"/>
    <x v="13"/>
    <x v="0"/>
    <x v="4"/>
    <x v="0"/>
    <x v="0"/>
    <x v="0"/>
    <n v="91"/>
    <x v="0"/>
    <x v="0"/>
    <x v="0"/>
    <x v="0"/>
    <n v="72"/>
    <x v="0"/>
    <x v="0"/>
    <x v="1"/>
    <n v="50"/>
  </r>
  <r>
    <x v="2"/>
    <x v="1"/>
    <x v="14"/>
    <x v="6"/>
    <x v="0"/>
    <x v="1"/>
    <x v="2"/>
    <x v="0"/>
    <n v="85"/>
    <x v="0"/>
    <x v="0"/>
    <x v="0"/>
    <x v="0"/>
    <n v="45"/>
    <x v="0"/>
    <x v="2"/>
    <x v="0"/>
    <n v="45"/>
  </r>
  <r>
    <x v="2"/>
    <x v="1"/>
    <x v="14"/>
    <x v="6"/>
    <x v="0"/>
    <x v="1"/>
    <x v="2"/>
    <x v="0"/>
    <n v="85"/>
    <x v="0"/>
    <x v="0"/>
    <x v="0"/>
    <x v="0"/>
    <n v="45"/>
    <x v="0"/>
    <x v="2"/>
    <x v="1"/>
    <n v="50"/>
  </r>
  <r>
    <x v="2"/>
    <x v="0"/>
    <x v="14"/>
    <x v="4"/>
    <x v="4"/>
    <x v="1"/>
    <x v="0"/>
    <x v="0"/>
    <n v="73"/>
    <x v="0"/>
    <x v="0"/>
    <x v="0"/>
    <x v="0"/>
    <n v="20"/>
    <x v="0"/>
    <x v="0"/>
    <x v="0"/>
    <n v="20"/>
  </r>
  <r>
    <x v="2"/>
    <x v="0"/>
    <x v="14"/>
    <x v="4"/>
    <x v="4"/>
    <x v="1"/>
    <x v="0"/>
    <x v="0"/>
    <n v="73"/>
    <x v="0"/>
    <x v="0"/>
    <x v="0"/>
    <x v="0"/>
    <n v="20"/>
    <x v="0"/>
    <x v="0"/>
    <x v="1"/>
    <n v="50"/>
  </r>
  <r>
    <x v="2"/>
    <x v="2"/>
    <x v="14"/>
    <x v="5"/>
    <x v="4"/>
    <x v="0"/>
    <x v="0"/>
    <x v="0"/>
    <n v="93"/>
    <x v="0"/>
    <x v="0"/>
    <x v="0"/>
    <x v="0"/>
    <n v="36"/>
    <x v="0"/>
    <x v="0"/>
    <x v="0"/>
    <n v="36"/>
  </r>
  <r>
    <x v="2"/>
    <x v="2"/>
    <x v="14"/>
    <x v="5"/>
    <x v="4"/>
    <x v="0"/>
    <x v="0"/>
    <x v="0"/>
    <n v="93"/>
    <x v="0"/>
    <x v="0"/>
    <x v="0"/>
    <x v="0"/>
    <n v="36"/>
    <x v="0"/>
    <x v="0"/>
    <x v="1"/>
    <n v="50"/>
  </r>
  <r>
    <x v="2"/>
    <x v="0"/>
    <x v="15"/>
    <x v="1"/>
    <x v="6"/>
    <x v="1"/>
    <x v="1"/>
    <x v="0"/>
    <n v="84"/>
    <x v="0"/>
    <x v="0"/>
    <x v="0"/>
    <x v="0"/>
    <n v="33"/>
    <x v="0"/>
    <x v="1"/>
    <x v="0"/>
    <n v="33"/>
  </r>
  <r>
    <x v="2"/>
    <x v="0"/>
    <x v="15"/>
    <x v="1"/>
    <x v="6"/>
    <x v="1"/>
    <x v="1"/>
    <x v="0"/>
    <n v="84"/>
    <x v="0"/>
    <x v="0"/>
    <x v="0"/>
    <x v="0"/>
    <n v="33"/>
    <x v="0"/>
    <x v="1"/>
    <x v="1"/>
    <n v="50"/>
  </r>
  <r>
    <x v="2"/>
    <x v="2"/>
    <x v="15"/>
    <x v="6"/>
    <x v="4"/>
    <x v="1"/>
    <x v="0"/>
    <x v="0"/>
    <n v="70"/>
    <x v="0"/>
    <x v="0"/>
    <x v="0"/>
    <x v="0"/>
    <n v="18"/>
    <x v="0"/>
    <x v="0"/>
    <x v="0"/>
    <n v="18"/>
  </r>
  <r>
    <x v="2"/>
    <x v="2"/>
    <x v="15"/>
    <x v="6"/>
    <x v="4"/>
    <x v="1"/>
    <x v="0"/>
    <x v="0"/>
    <n v="70"/>
    <x v="0"/>
    <x v="0"/>
    <x v="0"/>
    <x v="0"/>
    <n v="18"/>
    <x v="0"/>
    <x v="0"/>
    <x v="1"/>
    <n v="50"/>
  </r>
  <r>
    <x v="2"/>
    <x v="1"/>
    <x v="15"/>
    <x v="1"/>
    <x v="4"/>
    <x v="1"/>
    <x v="2"/>
    <x v="0"/>
    <n v="76"/>
    <x v="0"/>
    <x v="0"/>
    <x v="0"/>
    <x v="0"/>
    <n v="22"/>
    <x v="0"/>
    <x v="2"/>
    <x v="0"/>
    <n v="22"/>
  </r>
  <r>
    <x v="2"/>
    <x v="1"/>
    <x v="15"/>
    <x v="1"/>
    <x v="4"/>
    <x v="1"/>
    <x v="2"/>
    <x v="0"/>
    <n v="76"/>
    <x v="0"/>
    <x v="0"/>
    <x v="0"/>
    <x v="0"/>
    <n v="22"/>
    <x v="0"/>
    <x v="2"/>
    <x v="1"/>
    <n v="50"/>
  </r>
  <r>
    <x v="2"/>
    <x v="2"/>
    <x v="16"/>
    <x v="5"/>
    <x v="5"/>
    <x v="0"/>
    <x v="0"/>
    <x v="0"/>
    <n v="100"/>
    <x v="0"/>
    <x v="0"/>
    <x v="0"/>
    <x v="0"/>
    <n v="36"/>
    <x v="0"/>
    <x v="0"/>
    <x v="0"/>
    <n v="36"/>
  </r>
  <r>
    <x v="2"/>
    <x v="2"/>
    <x v="16"/>
    <x v="5"/>
    <x v="5"/>
    <x v="0"/>
    <x v="0"/>
    <x v="0"/>
    <n v="100"/>
    <x v="0"/>
    <x v="0"/>
    <x v="0"/>
    <x v="0"/>
    <n v="36"/>
    <x v="0"/>
    <x v="0"/>
    <x v="1"/>
    <n v="50"/>
  </r>
  <r>
    <x v="2"/>
    <x v="0"/>
    <x v="16"/>
    <x v="1"/>
    <x v="4"/>
    <x v="1"/>
    <x v="0"/>
    <x v="0"/>
    <n v="87"/>
    <x v="0"/>
    <x v="0"/>
    <x v="0"/>
    <x v="0"/>
    <n v="22"/>
    <x v="0"/>
    <x v="0"/>
    <x v="0"/>
    <n v="22"/>
  </r>
  <r>
    <x v="2"/>
    <x v="0"/>
    <x v="16"/>
    <x v="1"/>
    <x v="4"/>
    <x v="1"/>
    <x v="0"/>
    <x v="0"/>
    <n v="87"/>
    <x v="0"/>
    <x v="0"/>
    <x v="0"/>
    <x v="0"/>
    <n v="22"/>
    <x v="0"/>
    <x v="0"/>
    <x v="1"/>
    <n v="50"/>
  </r>
  <r>
    <x v="2"/>
    <x v="1"/>
    <x v="16"/>
    <x v="1"/>
    <x v="5"/>
    <x v="1"/>
    <x v="0"/>
    <x v="1"/>
    <n v="54"/>
    <x v="0"/>
    <x v="0"/>
    <x v="0"/>
    <x v="0"/>
    <n v="22"/>
    <x v="2"/>
    <x v="2"/>
    <x v="1"/>
    <n v="40"/>
  </r>
  <r>
    <x v="2"/>
    <x v="1"/>
    <x v="16"/>
    <x v="1"/>
    <x v="5"/>
    <x v="1"/>
    <x v="0"/>
    <x v="1"/>
    <n v="54"/>
    <x v="0"/>
    <x v="0"/>
    <x v="0"/>
    <x v="0"/>
    <n v="22"/>
    <x v="2"/>
    <x v="1"/>
    <x v="1"/>
    <n v="40"/>
  </r>
  <r>
    <x v="2"/>
    <x v="1"/>
    <x v="16"/>
    <x v="1"/>
    <x v="5"/>
    <x v="1"/>
    <x v="0"/>
    <x v="1"/>
    <n v="54"/>
    <x v="0"/>
    <x v="0"/>
    <x v="0"/>
    <x v="0"/>
    <n v="22"/>
    <x v="2"/>
    <x v="0"/>
    <x v="0"/>
    <n v="-44"/>
  </r>
  <r>
    <x v="2"/>
    <x v="1"/>
    <x v="16"/>
    <x v="1"/>
    <x v="5"/>
    <x v="1"/>
    <x v="0"/>
    <x v="1"/>
    <n v="54"/>
    <x v="0"/>
    <x v="0"/>
    <x v="0"/>
    <x v="0"/>
    <n v="22"/>
    <x v="2"/>
    <x v="0"/>
    <x v="1"/>
    <n v="-50"/>
  </r>
  <r>
    <x v="2"/>
    <x v="0"/>
    <x v="17"/>
    <x v="2"/>
    <x v="2"/>
    <x v="1"/>
    <x v="0"/>
    <x v="0"/>
    <m/>
    <x v="0"/>
    <x v="0"/>
    <x v="0"/>
    <x v="0"/>
    <n v="23"/>
    <x v="0"/>
    <x v="0"/>
    <x v="0"/>
    <n v="23"/>
  </r>
  <r>
    <x v="2"/>
    <x v="0"/>
    <x v="17"/>
    <x v="2"/>
    <x v="2"/>
    <x v="1"/>
    <x v="0"/>
    <x v="0"/>
    <m/>
    <x v="0"/>
    <x v="0"/>
    <x v="0"/>
    <x v="0"/>
    <n v="23"/>
    <x v="0"/>
    <x v="0"/>
    <x v="1"/>
    <n v="50"/>
  </r>
  <r>
    <x v="2"/>
    <x v="1"/>
    <x v="17"/>
    <x v="4"/>
    <x v="4"/>
    <x v="1"/>
    <x v="1"/>
    <x v="0"/>
    <n v="87"/>
    <x v="0"/>
    <x v="0"/>
    <x v="0"/>
    <x v="0"/>
    <n v="20"/>
    <x v="0"/>
    <x v="1"/>
    <x v="0"/>
    <n v="20"/>
  </r>
  <r>
    <x v="2"/>
    <x v="1"/>
    <x v="17"/>
    <x v="4"/>
    <x v="4"/>
    <x v="1"/>
    <x v="1"/>
    <x v="0"/>
    <n v="87"/>
    <x v="0"/>
    <x v="0"/>
    <x v="0"/>
    <x v="0"/>
    <n v="20"/>
    <x v="0"/>
    <x v="1"/>
    <x v="1"/>
    <n v="50"/>
  </r>
  <r>
    <x v="2"/>
    <x v="2"/>
    <x v="17"/>
    <x v="1"/>
    <x v="5"/>
    <x v="1"/>
    <x v="0"/>
    <x v="1"/>
    <n v="59"/>
    <x v="0"/>
    <x v="0"/>
    <x v="0"/>
    <x v="0"/>
    <n v="22"/>
    <x v="2"/>
    <x v="2"/>
    <x v="1"/>
    <n v="40"/>
  </r>
  <r>
    <x v="2"/>
    <x v="2"/>
    <x v="17"/>
    <x v="1"/>
    <x v="5"/>
    <x v="1"/>
    <x v="0"/>
    <x v="1"/>
    <n v="59"/>
    <x v="0"/>
    <x v="0"/>
    <x v="0"/>
    <x v="0"/>
    <n v="22"/>
    <x v="2"/>
    <x v="0"/>
    <x v="0"/>
    <n v="-44"/>
  </r>
  <r>
    <x v="2"/>
    <x v="2"/>
    <x v="17"/>
    <x v="1"/>
    <x v="5"/>
    <x v="1"/>
    <x v="0"/>
    <x v="1"/>
    <n v="59"/>
    <x v="0"/>
    <x v="0"/>
    <x v="0"/>
    <x v="0"/>
    <n v="22"/>
    <x v="2"/>
    <x v="0"/>
    <x v="1"/>
    <n v="-50"/>
  </r>
  <r>
    <x v="2"/>
    <x v="2"/>
    <x v="17"/>
    <x v="1"/>
    <x v="5"/>
    <x v="1"/>
    <x v="0"/>
    <x v="1"/>
    <n v="59"/>
    <x v="0"/>
    <x v="0"/>
    <x v="0"/>
    <x v="0"/>
    <n v="22"/>
    <x v="2"/>
    <x v="1"/>
    <x v="1"/>
    <n v="40"/>
  </r>
  <r>
    <x v="2"/>
    <x v="0"/>
    <x v="18"/>
    <x v="4"/>
    <x v="5"/>
    <x v="1"/>
    <x v="1"/>
    <x v="0"/>
    <n v="73"/>
    <x v="0"/>
    <x v="0"/>
    <x v="0"/>
    <x v="0"/>
    <n v="20"/>
    <x v="0"/>
    <x v="1"/>
    <x v="0"/>
    <n v="20"/>
  </r>
  <r>
    <x v="2"/>
    <x v="0"/>
    <x v="18"/>
    <x v="4"/>
    <x v="5"/>
    <x v="1"/>
    <x v="1"/>
    <x v="0"/>
    <n v="73"/>
    <x v="0"/>
    <x v="0"/>
    <x v="0"/>
    <x v="0"/>
    <n v="20"/>
    <x v="0"/>
    <x v="1"/>
    <x v="1"/>
    <n v="50"/>
  </r>
  <r>
    <x v="2"/>
    <x v="0"/>
    <x v="19"/>
    <x v="1"/>
    <x v="8"/>
    <x v="0"/>
    <x v="2"/>
    <x v="0"/>
    <n v="97"/>
    <x v="0"/>
    <x v="0"/>
    <x v="0"/>
    <x v="0"/>
    <n v="44"/>
    <x v="0"/>
    <x v="2"/>
    <x v="0"/>
    <n v="44"/>
  </r>
  <r>
    <x v="2"/>
    <x v="0"/>
    <x v="19"/>
    <x v="1"/>
    <x v="8"/>
    <x v="0"/>
    <x v="2"/>
    <x v="0"/>
    <n v="97"/>
    <x v="0"/>
    <x v="0"/>
    <x v="0"/>
    <x v="0"/>
    <n v="44"/>
    <x v="0"/>
    <x v="2"/>
    <x v="1"/>
    <n v="50"/>
  </r>
  <r>
    <x v="2"/>
    <x v="0"/>
    <x v="20"/>
    <x v="1"/>
    <x v="4"/>
    <x v="1"/>
    <x v="2"/>
    <x v="0"/>
    <n v="61"/>
    <x v="0"/>
    <x v="0"/>
    <x v="0"/>
    <x v="0"/>
    <n v="22"/>
    <x v="0"/>
    <x v="2"/>
    <x v="0"/>
    <n v="22"/>
  </r>
  <r>
    <x v="2"/>
    <x v="0"/>
    <x v="20"/>
    <x v="1"/>
    <x v="4"/>
    <x v="1"/>
    <x v="2"/>
    <x v="0"/>
    <n v="61"/>
    <x v="0"/>
    <x v="0"/>
    <x v="0"/>
    <x v="0"/>
    <n v="22"/>
    <x v="0"/>
    <x v="2"/>
    <x v="1"/>
    <n v="50"/>
  </r>
  <r>
    <x v="2"/>
    <x v="0"/>
    <x v="21"/>
    <x v="1"/>
    <x v="4"/>
    <x v="1"/>
    <x v="0"/>
    <x v="0"/>
    <n v="68"/>
    <x v="0"/>
    <x v="0"/>
    <x v="0"/>
    <x v="0"/>
    <n v="22"/>
    <x v="0"/>
    <x v="0"/>
    <x v="0"/>
    <n v="22"/>
  </r>
  <r>
    <x v="2"/>
    <x v="0"/>
    <x v="21"/>
    <x v="1"/>
    <x v="4"/>
    <x v="1"/>
    <x v="0"/>
    <x v="0"/>
    <n v="68"/>
    <x v="0"/>
    <x v="0"/>
    <x v="0"/>
    <x v="0"/>
    <n v="22"/>
    <x v="0"/>
    <x v="0"/>
    <x v="1"/>
    <n v="50"/>
  </r>
  <r>
    <x v="2"/>
    <x v="0"/>
    <x v="22"/>
    <x v="6"/>
    <x v="6"/>
    <x v="0"/>
    <x v="1"/>
    <x v="0"/>
    <n v="101"/>
    <x v="0"/>
    <x v="0"/>
    <x v="0"/>
    <x v="0"/>
    <n v="36"/>
    <x v="0"/>
    <x v="1"/>
    <x v="0"/>
    <n v="36"/>
  </r>
  <r>
    <x v="2"/>
    <x v="0"/>
    <x v="22"/>
    <x v="6"/>
    <x v="6"/>
    <x v="0"/>
    <x v="1"/>
    <x v="0"/>
    <n v="101"/>
    <x v="0"/>
    <x v="0"/>
    <x v="0"/>
    <x v="0"/>
    <n v="36"/>
    <x v="0"/>
    <x v="1"/>
    <x v="1"/>
    <n v="50"/>
  </r>
  <r>
    <x v="2"/>
    <x v="0"/>
    <x v="23"/>
    <x v="2"/>
    <x v="2"/>
    <x v="1"/>
    <x v="1"/>
    <x v="0"/>
    <m/>
    <x v="0"/>
    <x v="0"/>
    <x v="0"/>
    <x v="0"/>
    <n v="23"/>
    <x v="0"/>
    <x v="1"/>
    <x v="0"/>
    <n v="23"/>
  </r>
  <r>
    <x v="2"/>
    <x v="0"/>
    <x v="23"/>
    <x v="2"/>
    <x v="2"/>
    <x v="1"/>
    <x v="1"/>
    <x v="0"/>
    <m/>
    <x v="0"/>
    <x v="0"/>
    <x v="0"/>
    <x v="0"/>
    <n v="23"/>
    <x v="0"/>
    <x v="1"/>
    <x v="1"/>
    <n v="50"/>
  </r>
  <r>
    <x v="2"/>
    <x v="0"/>
    <x v="24"/>
    <x v="2"/>
    <x v="2"/>
    <x v="1"/>
    <x v="2"/>
    <x v="1"/>
    <m/>
    <x v="0"/>
    <x v="0"/>
    <x v="0"/>
    <x v="0"/>
    <n v="23"/>
    <x v="2"/>
    <x v="1"/>
    <x v="1"/>
    <n v="40"/>
  </r>
  <r>
    <x v="2"/>
    <x v="0"/>
    <x v="24"/>
    <x v="2"/>
    <x v="2"/>
    <x v="1"/>
    <x v="2"/>
    <x v="1"/>
    <m/>
    <x v="0"/>
    <x v="0"/>
    <x v="0"/>
    <x v="0"/>
    <n v="23"/>
    <x v="2"/>
    <x v="2"/>
    <x v="0"/>
    <n v="-46"/>
  </r>
  <r>
    <x v="2"/>
    <x v="0"/>
    <x v="24"/>
    <x v="2"/>
    <x v="2"/>
    <x v="1"/>
    <x v="2"/>
    <x v="1"/>
    <m/>
    <x v="0"/>
    <x v="0"/>
    <x v="0"/>
    <x v="0"/>
    <n v="23"/>
    <x v="2"/>
    <x v="2"/>
    <x v="1"/>
    <n v="-50"/>
  </r>
  <r>
    <x v="2"/>
    <x v="0"/>
    <x v="24"/>
    <x v="2"/>
    <x v="2"/>
    <x v="1"/>
    <x v="2"/>
    <x v="1"/>
    <m/>
    <x v="0"/>
    <x v="0"/>
    <x v="0"/>
    <x v="0"/>
    <n v="23"/>
    <x v="2"/>
    <x v="0"/>
    <x v="1"/>
    <n v="40"/>
  </r>
  <r>
    <x v="2"/>
    <x v="0"/>
    <x v="25"/>
    <x v="4"/>
    <x v="6"/>
    <x v="1"/>
    <x v="0"/>
    <x v="1"/>
    <n v="32"/>
    <x v="0"/>
    <x v="0"/>
    <x v="0"/>
    <x v="0"/>
    <n v="30"/>
    <x v="2"/>
    <x v="1"/>
    <x v="1"/>
    <n v="40"/>
  </r>
  <r>
    <x v="2"/>
    <x v="0"/>
    <x v="25"/>
    <x v="4"/>
    <x v="6"/>
    <x v="1"/>
    <x v="0"/>
    <x v="1"/>
    <n v="32"/>
    <x v="0"/>
    <x v="0"/>
    <x v="0"/>
    <x v="0"/>
    <n v="30"/>
    <x v="2"/>
    <x v="2"/>
    <x v="1"/>
    <n v="40"/>
  </r>
  <r>
    <x v="2"/>
    <x v="0"/>
    <x v="25"/>
    <x v="4"/>
    <x v="6"/>
    <x v="1"/>
    <x v="0"/>
    <x v="1"/>
    <n v="32"/>
    <x v="0"/>
    <x v="0"/>
    <x v="0"/>
    <x v="0"/>
    <n v="30"/>
    <x v="2"/>
    <x v="0"/>
    <x v="0"/>
    <n v="-60"/>
  </r>
  <r>
    <x v="2"/>
    <x v="0"/>
    <x v="25"/>
    <x v="4"/>
    <x v="6"/>
    <x v="1"/>
    <x v="0"/>
    <x v="1"/>
    <n v="32"/>
    <x v="0"/>
    <x v="0"/>
    <x v="0"/>
    <x v="0"/>
    <n v="30"/>
    <x v="2"/>
    <x v="0"/>
    <x v="1"/>
    <n v="-50"/>
  </r>
  <r>
    <x v="2"/>
    <x v="0"/>
    <x v="26"/>
    <x v="5"/>
    <x v="0"/>
    <x v="1"/>
    <x v="0"/>
    <x v="0"/>
    <n v="69"/>
    <x v="0"/>
    <x v="0"/>
    <x v="0"/>
    <x v="0"/>
    <n v="60"/>
    <x v="0"/>
    <x v="0"/>
    <x v="0"/>
    <n v="60"/>
  </r>
  <r>
    <x v="2"/>
    <x v="0"/>
    <x v="26"/>
    <x v="5"/>
    <x v="0"/>
    <x v="1"/>
    <x v="0"/>
    <x v="0"/>
    <n v="69"/>
    <x v="0"/>
    <x v="0"/>
    <x v="0"/>
    <x v="0"/>
    <n v="60"/>
    <x v="0"/>
    <x v="0"/>
    <x v="1"/>
    <n v="50"/>
  </r>
  <r>
    <x v="2"/>
    <x v="0"/>
    <x v="27"/>
    <x v="5"/>
    <x v="5"/>
    <x v="1"/>
    <x v="0"/>
    <x v="0"/>
    <n v="66"/>
    <x v="0"/>
    <x v="0"/>
    <x v="0"/>
    <x v="0"/>
    <n v="24"/>
    <x v="0"/>
    <x v="0"/>
    <x v="0"/>
    <n v="24"/>
  </r>
  <r>
    <x v="2"/>
    <x v="0"/>
    <x v="27"/>
    <x v="5"/>
    <x v="5"/>
    <x v="1"/>
    <x v="0"/>
    <x v="0"/>
    <n v="66"/>
    <x v="0"/>
    <x v="0"/>
    <x v="0"/>
    <x v="0"/>
    <n v="24"/>
    <x v="0"/>
    <x v="0"/>
    <x v="1"/>
    <n v="50"/>
  </r>
  <r>
    <x v="2"/>
    <x v="0"/>
    <x v="28"/>
    <x v="0"/>
    <x v="1"/>
    <x v="1"/>
    <x v="1"/>
    <x v="0"/>
    <n v="72"/>
    <x v="0"/>
    <x v="0"/>
    <x v="0"/>
    <x v="0"/>
    <n v="96"/>
    <x v="0"/>
    <x v="1"/>
    <x v="0"/>
    <n v="96"/>
  </r>
  <r>
    <x v="2"/>
    <x v="0"/>
    <x v="28"/>
    <x v="0"/>
    <x v="1"/>
    <x v="1"/>
    <x v="1"/>
    <x v="0"/>
    <n v="72"/>
    <x v="0"/>
    <x v="0"/>
    <x v="0"/>
    <x v="0"/>
    <n v="96"/>
    <x v="0"/>
    <x v="1"/>
    <x v="1"/>
    <n v="50"/>
  </r>
  <r>
    <x v="2"/>
    <x v="0"/>
    <x v="29"/>
    <x v="5"/>
    <x v="7"/>
    <x v="0"/>
    <x v="0"/>
    <x v="0"/>
    <n v="94"/>
    <x v="0"/>
    <x v="0"/>
    <x v="0"/>
    <x v="0"/>
    <n v="60"/>
    <x v="0"/>
    <x v="0"/>
    <x v="0"/>
    <n v="60"/>
  </r>
  <r>
    <x v="2"/>
    <x v="0"/>
    <x v="29"/>
    <x v="5"/>
    <x v="7"/>
    <x v="0"/>
    <x v="0"/>
    <x v="0"/>
    <n v="94"/>
    <x v="0"/>
    <x v="0"/>
    <x v="0"/>
    <x v="0"/>
    <n v="60"/>
    <x v="0"/>
    <x v="0"/>
    <x v="1"/>
    <n v="50"/>
  </r>
  <r>
    <x v="2"/>
    <x v="0"/>
    <x v="30"/>
    <x v="6"/>
    <x v="5"/>
    <x v="1"/>
    <x v="0"/>
    <x v="0"/>
    <n v="64"/>
    <x v="0"/>
    <x v="0"/>
    <x v="0"/>
    <x v="0"/>
    <n v="18"/>
    <x v="0"/>
    <x v="0"/>
    <x v="0"/>
    <n v="18"/>
  </r>
  <r>
    <x v="2"/>
    <x v="0"/>
    <x v="30"/>
    <x v="6"/>
    <x v="5"/>
    <x v="1"/>
    <x v="0"/>
    <x v="0"/>
    <n v="64"/>
    <x v="0"/>
    <x v="0"/>
    <x v="0"/>
    <x v="0"/>
    <n v="18"/>
    <x v="0"/>
    <x v="0"/>
    <x v="1"/>
    <n v="50"/>
  </r>
  <r>
    <x v="2"/>
    <x v="0"/>
    <x v="31"/>
    <x v="1"/>
    <x v="7"/>
    <x v="1"/>
    <x v="2"/>
    <x v="1"/>
    <n v="54"/>
    <x v="0"/>
    <x v="0"/>
    <x v="0"/>
    <x v="0"/>
    <n v="44"/>
    <x v="2"/>
    <x v="1"/>
    <x v="1"/>
    <n v="40"/>
  </r>
  <r>
    <x v="2"/>
    <x v="0"/>
    <x v="31"/>
    <x v="1"/>
    <x v="7"/>
    <x v="1"/>
    <x v="2"/>
    <x v="1"/>
    <n v="54"/>
    <x v="0"/>
    <x v="0"/>
    <x v="0"/>
    <x v="0"/>
    <n v="44"/>
    <x v="2"/>
    <x v="2"/>
    <x v="0"/>
    <n v="-88"/>
  </r>
  <r>
    <x v="2"/>
    <x v="0"/>
    <x v="31"/>
    <x v="1"/>
    <x v="7"/>
    <x v="1"/>
    <x v="2"/>
    <x v="1"/>
    <n v="54"/>
    <x v="0"/>
    <x v="0"/>
    <x v="0"/>
    <x v="0"/>
    <n v="44"/>
    <x v="2"/>
    <x v="2"/>
    <x v="1"/>
    <n v="-50"/>
  </r>
  <r>
    <x v="2"/>
    <x v="0"/>
    <x v="31"/>
    <x v="1"/>
    <x v="7"/>
    <x v="1"/>
    <x v="2"/>
    <x v="1"/>
    <n v="54"/>
    <x v="0"/>
    <x v="0"/>
    <x v="0"/>
    <x v="0"/>
    <n v="44"/>
    <x v="2"/>
    <x v="0"/>
    <x v="1"/>
    <n v="40"/>
  </r>
  <r>
    <x v="2"/>
    <x v="0"/>
    <x v="32"/>
    <x v="0"/>
    <x v="6"/>
    <x v="0"/>
    <x v="2"/>
    <x v="0"/>
    <n v="106"/>
    <x v="0"/>
    <x v="0"/>
    <x v="0"/>
    <x v="0"/>
    <n v="96"/>
    <x v="0"/>
    <x v="2"/>
    <x v="0"/>
    <n v="96"/>
  </r>
  <r>
    <x v="2"/>
    <x v="0"/>
    <x v="32"/>
    <x v="0"/>
    <x v="6"/>
    <x v="0"/>
    <x v="2"/>
    <x v="0"/>
    <n v="106"/>
    <x v="0"/>
    <x v="0"/>
    <x v="0"/>
    <x v="0"/>
    <n v="96"/>
    <x v="0"/>
    <x v="2"/>
    <x v="1"/>
    <n v="50"/>
  </r>
  <r>
    <x v="2"/>
    <x v="0"/>
    <x v="33"/>
    <x v="6"/>
    <x v="5"/>
    <x v="1"/>
    <x v="0"/>
    <x v="0"/>
    <n v="68"/>
    <x v="0"/>
    <x v="0"/>
    <x v="0"/>
    <x v="0"/>
    <n v="18"/>
    <x v="0"/>
    <x v="0"/>
    <x v="0"/>
    <n v="18"/>
  </r>
  <r>
    <x v="2"/>
    <x v="0"/>
    <x v="33"/>
    <x v="6"/>
    <x v="5"/>
    <x v="1"/>
    <x v="0"/>
    <x v="0"/>
    <n v="68"/>
    <x v="0"/>
    <x v="0"/>
    <x v="0"/>
    <x v="0"/>
    <n v="18"/>
    <x v="0"/>
    <x v="0"/>
    <x v="1"/>
    <n v="50"/>
  </r>
  <r>
    <x v="2"/>
    <x v="0"/>
    <x v="34"/>
    <x v="5"/>
    <x v="4"/>
    <x v="1"/>
    <x v="2"/>
    <x v="0"/>
    <n v="72"/>
    <x v="0"/>
    <x v="0"/>
    <x v="0"/>
    <x v="0"/>
    <n v="24"/>
    <x v="0"/>
    <x v="2"/>
    <x v="0"/>
    <n v="24"/>
  </r>
  <r>
    <x v="2"/>
    <x v="0"/>
    <x v="34"/>
    <x v="5"/>
    <x v="4"/>
    <x v="1"/>
    <x v="2"/>
    <x v="0"/>
    <n v="72"/>
    <x v="0"/>
    <x v="0"/>
    <x v="0"/>
    <x v="0"/>
    <n v="24"/>
    <x v="0"/>
    <x v="2"/>
    <x v="1"/>
    <n v="50"/>
  </r>
  <r>
    <x v="2"/>
    <x v="0"/>
    <x v="35"/>
    <x v="2"/>
    <x v="2"/>
    <x v="1"/>
    <x v="2"/>
    <x v="0"/>
    <m/>
    <x v="0"/>
    <x v="0"/>
    <x v="0"/>
    <x v="0"/>
    <n v="23"/>
    <x v="0"/>
    <x v="2"/>
    <x v="0"/>
    <n v="23"/>
  </r>
  <r>
    <x v="2"/>
    <x v="0"/>
    <x v="35"/>
    <x v="2"/>
    <x v="2"/>
    <x v="1"/>
    <x v="2"/>
    <x v="0"/>
    <m/>
    <x v="0"/>
    <x v="0"/>
    <x v="0"/>
    <x v="0"/>
    <n v="23"/>
    <x v="0"/>
    <x v="2"/>
    <x v="1"/>
    <n v="50"/>
  </r>
  <r>
    <x v="3"/>
    <x v="0"/>
    <x v="0"/>
    <x v="5"/>
    <x v="4"/>
    <x v="1"/>
    <x v="1"/>
    <x v="0"/>
    <n v="74"/>
    <x v="0"/>
    <x v="0"/>
    <x v="0"/>
    <x v="0"/>
    <n v="24"/>
    <x v="0"/>
    <x v="1"/>
    <x v="0"/>
    <n v="24"/>
  </r>
  <r>
    <x v="3"/>
    <x v="0"/>
    <x v="0"/>
    <x v="5"/>
    <x v="4"/>
    <x v="1"/>
    <x v="1"/>
    <x v="0"/>
    <n v="74"/>
    <x v="0"/>
    <x v="0"/>
    <x v="0"/>
    <x v="0"/>
    <n v="24"/>
    <x v="0"/>
    <x v="1"/>
    <x v="1"/>
    <n v="50"/>
  </r>
  <r>
    <x v="3"/>
    <x v="0"/>
    <x v="1"/>
    <x v="1"/>
    <x v="8"/>
    <x v="1"/>
    <x v="1"/>
    <x v="1"/>
    <n v="45"/>
    <x v="0"/>
    <x v="0"/>
    <x v="0"/>
    <x v="0"/>
    <n v="33"/>
    <x v="2"/>
    <x v="1"/>
    <x v="0"/>
    <n v="-66"/>
  </r>
  <r>
    <x v="3"/>
    <x v="0"/>
    <x v="1"/>
    <x v="1"/>
    <x v="8"/>
    <x v="1"/>
    <x v="1"/>
    <x v="1"/>
    <n v="45"/>
    <x v="0"/>
    <x v="0"/>
    <x v="0"/>
    <x v="0"/>
    <n v="33"/>
    <x v="2"/>
    <x v="1"/>
    <x v="1"/>
    <n v="-50"/>
  </r>
  <r>
    <x v="3"/>
    <x v="0"/>
    <x v="1"/>
    <x v="1"/>
    <x v="8"/>
    <x v="1"/>
    <x v="1"/>
    <x v="1"/>
    <n v="45"/>
    <x v="0"/>
    <x v="0"/>
    <x v="0"/>
    <x v="0"/>
    <n v="33"/>
    <x v="2"/>
    <x v="2"/>
    <x v="1"/>
    <n v="40"/>
  </r>
  <r>
    <x v="3"/>
    <x v="0"/>
    <x v="1"/>
    <x v="1"/>
    <x v="8"/>
    <x v="1"/>
    <x v="1"/>
    <x v="1"/>
    <n v="45"/>
    <x v="0"/>
    <x v="0"/>
    <x v="0"/>
    <x v="0"/>
    <n v="33"/>
    <x v="2"/>
    <x v="0"/>
    <x v="1"/>
    <n v="40"/>
  </r>
  <r>
    <x v="3"/>
    <x v="0"/>
    <x v="2"/>
    <x v="6"/>
    <x v="5"/>
    <x v="1"/>
    <x v="1"/>
    <x v="0"/>
    <n v="77"/>
    <x v="0"/>
    <x v="0"/>
    <x v="0"/>
    <x v="0"/>
    <n v="18"/>
    <x v="0"/>
    <x v="1"/>
    <x v="0"/>
    <n v="18"/>
  </r>
  <r>
    <x v="3"/>
    <x v="0"/>
    <x v="2"/>
    <x v="6"/>
    <x v="5"/>
    <x v="1"/>
    <x v="1"/>
    <x v="0"/>
    <n v="77"/>
    <x v="0"/>
    <x v="0"/>
    <x v="0"/>
    <x v="0"/>
    <n v="18"/>
    <x v="0"/>
    <x v="1"/>
    <x v="1"/>
    <n v="50"/>
  </r>
  <r>
    <x v="3"/>
    <x v="0"/>
    <x v="3"/>
    <x v="1"/>
    <x v="4"/>
    <x v="1"/>
    <x v="1"/>
    <x v="0"/>
    <n v="76"/>
    <x v="0"/>
    <x v="0"/>
    <x v="0"/>
    <x v="0"/>
    <n v="22"/>
    <x v="0"/>
    <x v="1"/>
    <x v="0"/>
    <n v="22"/>
  </r>
  <r>
    <x v="3"/>
    <x v="0"/>
    <x v="3"/>
    <x v="1"/>
    <x v="4"/>
    <x v="1"/>
    <x v="1"/>
    <x v="0"/>
    <n v="76"/>
    <x v="0"/>
    <x v="0"/>
    <x v="0"/>
    <x v="0"/>
    <n v="22"/>
    <x v="0"/>
    <x v="1"/>
    <x v="1"/>
    <n v="50"/>
  </r>
  <r>
    <x v="3"/>
    <x v="0"/>
    <x v="4"/>
    <x v="4"/>
    <x v="4"/>
    <x v="1"/>
    <x v="2"/>
    <x v="1"/>
    <n v="50"/>
    <x v="0"/>
    <x v="0"/>
    <x v="0"/>
    <x v="0"/>
    <n v="20"/>
    <x v="2"/>
    <x v="1"/>
    <x v="1"/>
    <n v="40"/>
  </r>
  <r>
    <x v="3"/>
    <x v="0"/>
    <x v="4"/>
    <x v="4"/>
    <x v="4"/>
    <x v="1"/>
    <x v="2"/>
    <x v="1"/>
    <n v="50"/>
    <x v="0"/>
    <x v="0"/>
    <x v="0"/>
    <x v="0"/>
    <n v="20"/>
    <x v="2"/>
    <x v="2"/>
    <x v="0"/>
    <n v="-40"/>
  </r>
  <r>
    <x v="3"/>
    <x v="0"/>
    <x v="4"/>
    <x v="4"/>
    <x v="4"/>
    <x v="1"/>
    <x v="2"/>
    <x v="1"/>
    <n v="50"/>
    <x v="0"/>
    <x v="0"/>
    <x v="0"/>
    <x v="0"/>
    <n v="20"/>
    <x v="2"/>
    <x v="2"/>
    <x v="1"/>
    <n v="-50"/>
  </r>
  <r>
    <x v="3"/>
    <x v="0"/>
    <x v="4"/>
    <x v="4"/>
    <x v="4"/>
    <x v="1"/>
    <x v="2"/>
    <x v="1"/>
    <n v="50"/>
    <x v="0"/>
    <x v="0"/>
    <x v="0"/>
    <x v="0"/>
    <n v="20"/>
    <x v="2"/>
    <x v="0"/>
    <x v="1"/>
    <n v="40"/>
  </r>
  <r>
    <x v="3"/>
    <x v="0"/>
    <x v="5"/>
    <x v="1"/>
    <x v="8"/>
    <x v="1"/>
    <x v="0"/>
    <x v="0"/>
    <n v="65"/>
    <x v="0"/>
    <x v="0"/>
    <x v="0"/>
    <x v="0"/>
    <n v="33"/>
    <x v="0"/>
    <x v="0"/>
    <x v="0"/>
    <n v="33"/>
  </r>
  <r>
    <x v="3"/>
    <x v="0"/>
    <x v="5"/>
    <x v="1"/>
    <x v="8"/>
    <x v="1"/>
    <x v="0"/>
    <x v="0"/>
    <n v="65"/>
    <x v="0"/>
    <x v="0"/>
    <x v="0"/>
    <x v="0"/>
    <n v="33"/>
    <x v="0"/>
    <x v="0"/>
    <x v="1"/>
    <n v="50"/>
  </r>
  <r>
    <x v="3"/>
    <x v="0"/>
    <x v="6"/>
    <x v="1"/>
    <x v="6"/>
    <x v="0"/>
    <x v="2"/>
    <x v="0"/>
    <n v="97"/>
    <x v="0"/>
    <x v="0"/>
    <x v="0"/>
    <x v="0"/>
    <n v="44"/>
    <x v="0"/>
    <x v="2"/>
    <x v="0"/>
    <n v="44"/>
  </r>
  <r>
    <x v="3"/>
    <x v="0"/>
    <x v="6"/>
    <x v="1"/>
    <x v="6"/>
    <x v="0"/>
    <x v="2"/>
    <x v="0"/>
    <n v="97"/>
    <x v="0"/>
    <x v="0"/>
    <x v="0"/>
    <x v="0"/>
    <n v="44"/>
    <x v="0"/>
    <x v="2"/>
    <x v="1"/>
    <n v="50"/>
  </r>
  <r>
    <x v="3"/>
    <x v="0"/>
    <x v="7"/>
    <x v="0"/>
    <x v="4"/>
    <x v="0"/>
    <x v="0"/>
    <x v="0"/>
    <n v="193"/>
    <x v="0"/>
    <x v="0"/>
    <x v="0"/>
    <x v="0"/>
    <n v="72"/>
    <x v="0"/>
    <x v="0"/>
    <x v="0"/>
    <n v="72"/>
  </r>
  <r>
    <x v="3"/>
    <x v="0"/>
    <x v="7"/>
    <x v="0"/>
    <x v="4"/>
    <x v="0"/>
    <x v="0"/>
    <x v="0"/>
    <n v="193"/>
    <x v="0"/>
    <x v="0"/>
    <x v="0"/>
    <x v="0"/>
    <n v="72"/>
    <x v="0"/>
    <x v="0"/>
    <x v="1"/>
    <n v="50"/>
  </r>
  <r>
    <x v="3"/>
    <x v="0"/>
    <x v="8"/>
    <x v="4"/>
    <x v="6"/>
    <x v="1"/>
    <x v="0"/>
    <x v="0"/>
    <n v="63"/>
    <x v="0"/>
    <x v="0"/>
    <x v="0"/>
    <x v="0"/>
    <n v="30"/>
    <x v="0"/>
    <x v="0"/>
    <x v="0"/>
    <n v="30"/>
  </r>
  <r>
    <x v="3"/>
    <x v="0"/>
    <x v="8"/>
    <x v="4"/>
    <x v="6"/>
    <x v="1"/>
    <x v="0"/>
    <x v="0"/>
    <n v="63"/>
    <x v="0"/>
    <x v="0"/>
    <x v="0"/>
    <x v="0"/>
    <n v="30"/>
    <x v="0"/>
    <x v="0"/>
    <x v="1"/>
    <n v="50"/>
  </r>
  <r>
    <x v="3"/>
    <x v="0"/>
    <x v="9"/>
    <x v="1"/>
    <x v="4"/>
    <x v="1"/>
    <x v="0"/>
    <x v="0"/>
    <n v="63"/>
    <x v="0"/>
    <x v="0"/>
    <x v="0"/>
    <x v="0"/>
    <n v="22"/>
    <x v="0"/>
    <x v="0"/>
    <x v="0"/>
    <n v="22"/>
  </r>
  <r>
    <x v="3"/>
    <x v="0"/>
    <x v="9"/>
    <x v="1"/>
    <x v="4"/>
    <x v="1"/>
    <x v="0"/>
    <x v="0"/>
    <n v="63"/>
    <x v="0"/>
    <x v="0"/>
    <x v="0"/>
    <x v="0"/>
    <n v="22"/>
    <x v="0"/>
    <x v="0"/>
    <x v="1"/>
    <n v="50"/>
  </r>
  <r>
    <x v="3"/>
    <x v="0"/>
    <x v="10"/>
    <x v="5"/>
    <x v="0"/>
    <x v="1"/>
    <x v="1"/>
    <x v="0"/>
    <n v="75"/>
    <x v="0"/>
    <x v="0"/>
    <x v="0"/>
    <x v="0"/>
    <n v="60"/>
    <x v="0"/>
    <x v="1"/>
    <x v="0"/>
    <n v="60"/>
  </r>
  <r>
    <x v="3"/>
    <x v="0"/>
    <x v="10"/>
    <x v="5"/>
    <x v="0"/>
    <x v="1"/>
    <x v="1"/>
    <x v="0"/>
    <n v="75"/>
    <x v="0"/>
    <x v="0"/>
    <x v="0"/>
    <x v="0"/>
    <n v="60"/>
    <x v="0"/>
    <x v="1"/>
    <x v="1"/>
    <n v="50"/>
  </r>
  <r>
    <x v="3"/>
    <x v="0"/>
    <x v="11"/>
    <x v="1"/>
    <x v="4"/>
    <x v="1"/>
    <x v="1"/>
    <x v="0"/>
    <n v="67"/>
    <x v="0"/>
    <x v="0"/>
    <x v="0"/>
    <x v="0"/>
    <n v="22"/>
    <x v="0"/>
    <x v="1"/>
    <x v="0"/>
    <n v="22"/>
  </r>
  <r>
    <x v="3"/>
    <x v="0"/>
    <x v="11"/>
    <x v="1"/>
    <x v="4"/>
    <x v="1"/>
    <x v="1"/>
    <x v="0"/>
    <n v="67"/>
    <x v="0"/>
    <x v="0"/>
    <x v="0"/>
    <x v="0"/>
    <n v="22"/>
    <x v="0"/>
    <x v="1"/>
    <x v="1"/>
    <n v="50"/>
  </r>
  <r>
    <x v="3"/>
    <x v="0"/>
    <x v="12"/>
    <x v="4"/>
    <x v="4"/>
    <x v="1"/>
    <x v="2"/>
    <x v="0"/>
    <n v="67"/>
    <x v="0"/>
    <x v="0"/>
    <x v="0"/>
    <x v="0"/>
    <n v="20"/>
    <x v="0"/>
    <x v="2"/>
    <x v="0"/>
    <n v="20"/>
  </r>
  <r>
    <x v="3"/>
    <x v="0"/>
    <x v="12"/>
    <x v="4"/>
    <x v="4"/>
    <x v="1"/>
    <x v="2"/>
    <x v="0"/>
    <n v="67"/>
    <x v="0"/>
    <x v="0"/>
    <x v="0"/>
    <x v="0"/>
    <n v="20"/>
    <x v="0"/>
    <x v="2"/>
    <x v="1"/>
    <n v="50"/>
  </r>
  <r>
    <x v="3"/>
    <x v="0"/>
    <x v="13"/>
    <x v="5"/>
    <x v="7"/>
    <x v="1"/>
    <x v="2"/>
    <x v="0"/>
    <n v="84"/>
    <x v="0"/>
    <x v="0"/>
    <x v="0"/>
    <x v="0"/>
    <n v="48"/>
    <x v="0"/>
    <x v="2"/>
    <x v="0"/>
    <n v="48"/>
  </r>
  <r>
    <x v="3"/>
    <x v="0"/>
    <x v="13"/>
    <x v="5"/>
    <x v="7"/>
    <x v="1"/>
    <x v="2"/>
    <x v="0"/>
    <n v="84"/>
    <x v="0"/>
    <x v="0"/>
    <x v="0"/>
    <x v="0"/>
    <n v="48"/>
    <x v="0"/>
    <x v="2"/>
    <x v="1"/>
    <n v="50"/>
  </r>
  <r>
    <x v="3"/>
    <x v="0"/>
    <x v="14"/>
    <x v="0"/>
    <x v="0"/>
    <x v="0"/>
    <x v="1"/>
    <x v="0"/>
    <n v="110"/>
    <x v="0"/>
    <x v="0"/>
    <x v="0"/>
    <x v="0"/>
    <n v="144"/>
    <x v="0"/>
    <x v="1"/>
    <x v="0"/>
    <n v="144"/>
  </r>
  <r>
    <x v="3"/>
    <x v="0"/>
    <x v="14"/>
    <x v="0"/>
    <x v="0"/>
    <x v="0"/>
    <x v="1"/>
    <x v="0"/>
    <n v="110"/>
    <x v="0"/>
    <x v="0"/>
    <x v="0"/>
    <x v="0"/>
    <n v="144"/>
    <x v="0"/>
    <x v="1"/>
    <x v="1"/>
    <n v="50"/>
  </r>
  <r>
    <x v="3"/>
    <x v="0"/>
    <x v="15"/>
    <x v="6"/>
    <x v="4"/>
    <x v="4"/>
    <x v="1"/>
    <x v="0"/>
    <n v="86"/>
    <x v="0"/>
    <x v="0"/>
    <x v="0"/>
    <x v="0"/>
    <n v="27"/>
    <x v="0"/>
    <x v="1"/>
    <x v="0"/>
    <n v="27"/>
  </r>
  <r>
    <x v="3"/>
    <x v="0"/>
    <x v="15"/>
    <x v="6"/>
    <x v="4"/>
    <x v="4"/>
    <x v="1"/>
    <x v="0"/>
    <n v="86"/>
    <x v="0"/>
    <x v="0"/>
    <x v="0"/>
    <x v="0"/>
    <n v="27"/>
    <x v="0"/>
    <x v="1"/>
    <x v="1"/>
    <n v="50"/>
  </r>
  <r>
    <x v="3"/>
    <x v="0"/>
    <x v="16"/>
    <x v="0"/>
    <x v="4"/>
    <x v="1"/>
    <x v="0"/>
    <x v="0"/>
    <n v="83"/>
    <x v="0"/>
    <x v="0"/>
    <x v="0"/>
    <x v="0"/>
    <n v="48"/>
    <x v="0"/>
    <x v="0"/>
    <x v="0"/>
    <n v="48"/>
  </r>
  <r>
    <x v="3"/>
    <x v="0"/>
    <x v="16"/>
    <x v="0"/>
    <x v="4"/>
    <x v="1"/>
    <x v="0"/>
    <x v="0"/>
    <n v="83"/>
    <x v="0"/>
    <x v="0"/>
    <x v="0"/>
    <x v="0"/>
    <n v="48"/>
    <x v="0"/>
    <x v="0"/>
    <x v="1"/>
    <n v="50"/>
  </r>
  <r>
    <x v="3"/>
    <x v="0"/>
    <x v="17"/>
    <x v="0"/>
    <x v="1"/>
    <x v="0"/>
    <x v="2"/>
    <x v="0"/>
    <n v="93"/>
    <x v="0"/>
    <x v="0"/>
    <x v="0"/>
    <x v="0"/>
    <n v="120"/>
    <x v="0"/>
    <x v="2"/>
    <x v="0"/>
    <n v="120"/>
  </r>
  <r>
    <x v="3"/>
    <x v="0"/>
    <x v="17"/>
    <x v="0"/>
    <x v="1"/>
    <x v="0"/>
    <x v="2"/>
    <x v="0"/>
    <n v="93"/>
    <x v="0"/>
    <x v="0"/>
    <x v="0"/>
    <x v="0"/>
    <n v="120"/>
    <x v="0"/>
    <x v="2"/>
    <x v="1"/>
    <n v="50"/>
  </r>
  <r>
    <x v="3"/>
    <x v="0"/>
    <x v="18"/>
    <x v="3"/>
    <x v="2"/>
    <x v="1"/>
    <x v="0"/>
    <x v="1"/>
    <n v="77"/>
    <x v="0"/>
    <x v="0"/>
    <x v="0"/>
    <x v="0"/>
    <n v="77"/>
    <x v="1"/>
    <x v="1"/>
    <x v="1"/>
    <n v="40"/>
  </r>
  <r>
    <x v="3"/>
    <x v="0"/>
    <x v="18"/>
    <x v="3"/>
    <x v="2"/>
    <x v="1"/>
    <x v="0"/>
    <x v="1"/>
    <n v="77"/>
    <x v="0"/>
    <x v="0"/>
    <x v="0"/>
    <x v="0"/>
    <n v="77"/>
    <x v="1"/>
    <x v="2"/>
    <x v="1"/>
    <n v="40"/>
  </r>
  <r>
    <x v="3"/>
    <x v="0"/>
    <x v="18"/>
    <x v="3"/>
    <x v="2"/>
    <x v="1"/>
    <x v="0"/>
    <x v="1"/>
    <n v="77"/>
    <x v="0"/>
    <x v="0"/>
    <x v="0"/>
    <x v="0"/>
    <n v="77"/>
    <x v="1"/>
    <x v="0"/>
    <x v="0"/>
    <n v="-77"/>
  </r>
  <r>
    <x v="3"/>
    <x v="0"/>
    <x v="18"/>
    <x v="3"/>
    <x v="2"/>
    <x v="1"/>
    <x v="0"/>
    <x v="1"/>
    <n v="77"/>
    <x v="0"/>
    <x v="0"/>
    <x v="0"/>
    <x v="0"/>
    <n v="77"/>
    <x v="1"/>
    <x v="0"/>
    <x v="1"/>
    <n v="-50"/>
  </r>
  <r>
    <x v="3"/>
    <x v="0"/>
    <x v="19"/>
    <x v="0"/>
    <x v="1"/>
    <x v="0"/>
    <x v="0"/>
    <x v="0"/>
    <n v="102"/>
    <x v="0"/>
    <x v="0"/>
    <x v="0"/>
    <x v="0"/>
    <n v="120"/>
    <x v="0"/>
    <x v="0"/>
    <x v="0"/>
    <n v="120"/>
  </r>
  <r>
    <x v="3"/>
    <x v="0"/>
    <x v="19"/>
    <x v="0"/>
    <x v="1"/>
    <x v="0"/>
    <x v="0"/>
    <x v="0"/>
    <n v="102"/>
    <x v="0"/>
    <x v="0"/>
    <x v="0"/>
    <x v="0"/>
    <n v="120"/>
    <x v="0"/>
    <x v="0"/>
    <x v="1"/>
    <n v="50"/>
  </r>
  <r>
    <x v="3"/>
    <x v="0"/>
    <x v="20"/>
    <x v="1"/>
    <x v="6"/>
    <x v="1"/>
    <x v="0"/>
    <x v="1"/>
    <n v="31"/>
    <x v="0"/>
    <x v="0"/>
    <x v="0"/>
    <x v="0"/>
    <n v="33"/>
    <x v="2"/>
    <x v="1"/>
    <x v="1"/>
    <n v="40"/>
  </r>
  <r>
    <x v="3"/>
    <x v="0"/>
    <x v="20"/>
    <x v="1"/>
    <x v="6"/>
    <x v="1"/>
    <x v="0"/>
    <x v="1"/>
    <n v="31"/>
    <x v="0"/>
    <x v="0"/>
    <x v="0"/>
    <x v="0"/>
    <n v="33"/>
    <x v="2"/>
    <x v="2"/>
    <x v="1"/>
    <n v="40"/>
  </r>
  <r>
    <x v="3"/>
    <x v="0"/>
    <x v="20"/>
    <x v="1"/>
    <x v="6"/>
    <x v="1"/>
    <x v="0"/>
    <x v="1"/>
    <n v="31"/>
    <x v="0"/>
    <x v="0"/>
    <x v="0"/>
    <x v="0"/>
    <n v="33"/>
    <x v="2"/>
    <x v="0"/>
    <x v="0"/>
    <n v="-66"/>
  </r>
  <r>
    <x v="3"/>
    <x v="0"/>
    <x v="20"/>
    <x v="1"/>
    <x v="6"/>
    <x v="1"/>
    <x v="0"/>
    <x v="1"/>
    <n v="31"/>
    <x v="0"/>
    <x v="0"/>
    <x v="0"/>
    <x v="0"/>
    <n v="33"/>
    <x v="2"/>
    <x v="0"/>
    <x v="1"/>
    <n v="-50"/>
  </r>
  <r>
    <x v="3"/>
    <x v="0"/>
    <x v="21"/>
    <x v="2"/>
    <x v="2"/>
    <x v="1"/>
    <x v="0"/>
    <x v="1"/>
    <m/>
    <x v="0"/>
    <x v="0"/>
    <x v="0"/>
    <x v="0"/>
    <n v="23"/>
    <x v="2"/>
    <x v="1"/>
    <x v="1"/>
    <n v="40"/>
  </r>
  <r>
    <x v="3"/>
    <x v="0"/>
    <x v="21"/>
    <x v="2"/>
    <x v="2"/>
    <x v="1"/>
    <x v="0"/>
    <x v="1"/>
    <m/>
    <x v="0"/>
    <x v="0"/>
    <x v="0"/>
    <x v="0"/>
    <n v="23"/>
    <x v="2"/>
    <x v="2"/>
    <x v="1"/>
    <n v="40"/>
  </r>
  <r>
    <x v="3"/>
    <x v="0"/>
    <x v="21"/>
    <x v="2"/>
    <x v="2"/>
    <x v="1"/>
    <x v="0"/>
    <x v="1"/>
    <m/>
    <x v="0"/>
    <x v="0"/>
    <x v="0"/>
    <x v="0"/>
    <n v="23"/>
    <x v="2"/>
    <x v="0"/>
    <x v="0"/>
    <n v="-46"/>
  </r>
  <r>
    <x v="3"/>
    <x v="0"/>
    <x v="21"/>
    <x v="2"/>
    <x v="2"/>
    <x v="1"/>
    <x v="0"/>
    <x v="1"/>
    <m/>
    <x v="0"/>
    <x v="0"/>
    <x v="0"/>
    <x v="0"/>
    <n v="23"/>
    <x v="2"/>
    <x v="0"/>
    <x v="1"/>
    <n v="-50"/>
  </r>
  <r>
    <x v="3"/>
    <x v="0"/>
    <x v="22"/>
    <x v="0"/>
    <x v="0"/>
    <x v="5"/>
    <x v="0"/>
    <x v="0"/>
    <n v="106"/>
    <x v="0"/>
    <x v="0"/>
    <x v="0"/>
    <x v="0"/>
    <n v="168"/>
    <x v="0"/>
    <x v="0"/>
    <x v="0"/>
    <n v="168"/>
  </r>
  <r>
    <x v="3"/>
    <x v="0"/>
    <x v="22"/>
    <x v="0"/>
    <x v="0"/>
    <x v="5"/>
    <x v="0"/>
    <x v="0"/>
    <n v="106"/>
    <x v="0"/>
    <x v="0"/>
    <x v="0"/>
    <x v="0"/>
    <n v="168"/>
    <x v="0"/>
    <x v="0"/>
    <x v="1"/>
    <n v="50"/>
  </r>
  <r>
    <x v="3"/>
    <x v="0"/>
    <x v="23"/>
    <x v="0"/>
    <x v="5"/>
    <x v="1"/>
    <x v="0"/>
    <x v="0"/>
    <n v="78"/>
    <x v="0"/>
    <x v="0"/>
    <x v="0"/>
    <x v="0"/>
    <n v="48"/>
    <x v="0"/>
    <x v="0"/>
    <x v="0"/>
    <n v="48"/>
  </r>
  <r>
    <x v="3"/>
    <x v="0"/>
    <x v="23"/>
    <x v="0"/>
    <x v="5"/>
    <x v="1"/>
    <x v="0"/>
    <x v="0"/>
    <n v="78"/>
    <x v="0"/>
    <x v="0"/>
    <x v="0"/>
    <x v="0"/>
    <n v="48"/>
    <x v="0"/>
    <x v="0"/>
    <x v="1"/>
    <n v="50"/>
  </r>
  <r>
    <x v="3"/>
    <x v="0"/>
    <x v="24"/>
    <x v="5"/>
    <x v="4"/>
    <x v="1"/>
    <x v="0"/>
    <x v="0"/>
    <n v="61"/>
    <x v="0"/>
    <x v="0"/>
    <x v="0"/>
    <x v="0"/>
    <n v="24"/>
    <x v="0"/>
    <x v="0"/>
    <x v="0"/>
    <n v="24"/>
  </r>
  <r>
    <x v="3"/>
    <x v="0"/>
    <x v="24"/>
    <x v="5"/>
    <x v="4"/>
    <x v="1"/>
    <x v="0"/>
    <x v="0"/>
    <n v="61"/>
    <x v="0"/>
    <x v="0"/>
    <x v="0"/>
    <x v="0"/>
    <n v="24"/>
    <x v="0"/>
    <x v="0"/>
    <x v="1"/>
    <n v="50"/>
  </r>
  <r>
    <x v="3"/>
    <x v="0"/>
    <x v="25"/>
    <x v="0"/>
    <x v="4"/>
    <x v="0"/>
    <x v="2"/>
    <x v="0"/>
    <n v="105"/>
    <x v="0"/>
    <x v="0"/>
    <x v="0"/>
    <x v="0"/>
    <n v="72"/>
    <x v="0"/>
    <x v="2"/>
    <x v="0"/>
    <n v="72"/>
  </r>
  <r>
    <x v="3"/>
    <x v="0"/>
    <x v="25"/>
    <x v="0"/>
    <x v="4"/>
    <x v="0"/>
    <x v="2"/>
    <x v="0"/>
    <n v="105"/>
    <x v="0"/>
    <x v="0"/>
    <x v="0"/>
    <x v="0"/>
    <n v="72"/>
    <x v="0"/>
    <x v="2"/>
    <x v="1"/>
    <n v="50"/>
  </r>
  <r>
    <x v="3"/>
    <x v="0"/>
    <x v="26"/>
    <x v="2"/>
    <x v="2"/>
    <x v="4"/>
    <x v="2"/>
    <x v="0"/>
    <m/>
    <x v="0"/>
    <x v="0"/>
    <x v="0"/>
    <x v="0"/>
    <n v="35"/>
    <x v="0"/>
    <x v="2"/>
    <x v="0"/>
    <n v="35"/>
  </r>
  <r>
    <x v="3"/>
    <x v="0"/>
    <x v="26"/>
    <x v="2"/>
    <x v="2"/>
    <x v="4"/>
    <x v="2"/>
    <x v="0"/>
    <m/>
    <x v="0"/>
    <x v="0"/>
    <x v="0"/>
    <x v="0"/>
    <n v="35"/>
    <x v="0"/>
    <x v="2"/>
    <x v="1"/>
    <n v="50"/>
  </r>
  <r>
    <x v="3"/>
    <x v="0"/>
    <x v="27"/>
    <x v="1"/>
    <x v="8"/>
    <x v="1"/>
    <x v="1"/>
    <x v="0"/>
    <n v="66"/>
    <x v="0"/>
    <x v="0"/>
    <x v="0"/>
    <x v="0"/>
    <n v="33"/>
    <x v="0"/>
    <x v="1"/>
    <x v="0"/>
    <n v="33"/>
  </r>
  <r>
    <x v="3"/>
    <x v="0"/>
    <x v="27"/>
    <x v="1"/>
    <x v="8"/>
    <x v="1"/>
    <x v="1"/>
    <x v="0"/>
    <n v="66"/>
    <x v="0"/>
    <x v="0"/>
    <x v="0"/>
    <x v="0"/>
    <n v="33"/>
    <x v="0"/>
    <x v="1"/>
    <x v="1"/>
    <n v="50"/>
  </r>
  <r>
    <x v="3"/>
    <x v="0"/>
    <x v="28"/>
    <x v="0"/>
    <x v="4"/>
    <x v="0"/>
    <x v="2"/>
    <x v="0"/>
    <n v="66"/>
    <x v="0"/>
    <x v="0"/>
    <x v="0"/>
    <x v="0"/>
    <n v="72"/>
    <x v="0"/>
    <x v="2"/>
    <x v="0"/>
    <n v="72"/>
  </r>
  <r>
    <x v="3"/>
    <x v="0"/>
    <x v="28"/>
    <x v="0"/>
    <x v="4"/>
    <x v="0"/>
    <x v="2"/>
    <x v="0"/>
    <n v="66"/>
    <x v="0"/>
    <x v="0"/>
    <x v="0"/>
    <x v="0"/>
    <n v="72"/>
    <x v="0"/>
    <x v="2"/>
    <x v="1"/>
    <n v="50"/>
  </r>
  <r>
    <x v="3"/>
    <x v="0"/>
    <x v="29"/>
    <x v="0"/>
    <x v="6"/>
    <x v="1"/>
    <x v="0"/>
    <x v="0"/>
    <n v="83"/>
    <x v="0"/>
    <x v="0"/>
    <x v="0"/>
    <x v="0"/>
    <n v="72"/>
    <x v="0"/>
    <x v="0"/>
    <x v="0"/>
    <n v="72"/>
  </r>
  <r>
    <x v="3"/>
    <x v="0"/>
    <x v="29"/>
    <x v="0"/>
    <x v="6"/>
    <x v="1"/>
    <x v="0"/>
    <x v="0"/>
    <n v="83"/>
    <x v="0"/>
    <x v="0"/>
    <x v="0"/>
    <x v="0"/>
    <n v="72"/>
    <x v="0"/>
    <x v="0"/>
    <x v="1"/>
    <n v="50"/>
  </r>
  <r>
    <x v="3"/>
    <x v="0"/>
    <x v="30"/>
    <x v="5"/>
    <x v="4"/>
    <x v="1"/>
    <x v="1"/>
    <x v="1"/>
    <n v="55"/>
    <x v="0"/>
    <x v="0"/>
    <x v="0"/>
    <x v="0"/>
    <n v="24"/>
    <x v="2"/>
    <x v="1"/>
    <x v="0"/>
    <n v="-48"/>
  </r>
  <r>
    <x v="3"/>
    <x v="0"/>
    <x v="30"/>
    <x v="5"/>
    <x v="4"/>
    <x v="1"/>
    <x v="1"/>
    <x v="1"/>
    <n v="55"/>
    <x v="0"/>
    <x v="0"/>
    <x v="0"/>
    <x v="0"/>
    <n v="24"/>
    <x v="2"/>
    <x v="1"/>
    <x v="1"/>
    <n v="-50"/>
  </r>
  <r>
    <x v="3"/>
    <x v="0"/>
    <x v="30"/>
    <x v="5"/>
    <x v="4"/>
    <x v="1"/>
    <x v="1"/>
    <x v="1"/>
    <n v="55"/>
    <x v="0"/>
    <x v="0"/>
    <x v="0"/>
    <x v="0"/>
    <n v="24"/>
    <x v="2"/>
    <x v="2"/>
    <x v="1"/>
    <n v="40"/>
  </r>
  <r>
    <x v="3"/>
    <x v="0"/>
    <x v="30"/>
    <x v="5"/>
    <x v="4"/>
    <x v="1"/>
    <x v="1"/>
    <x v="1"/>
    <n v="55"/>
    <x v="0"/>
    <x v="0"/>
    <x v="0"/>
    <x v="0"/>
    <n v="24"/>
    <x v="2"/>
    <x v="0"/>
    <x v="1"/>
    <n v="40"/>
  </r>
  <r>
    <x v="3"/>
    <x v="0"/>
    <x v="31"/>
    <x v="2"/>
    <x v="2"/>
    <x v="2"/>
    <x v="0"/>
    <x v="0"/>
    <m/>
    <x v="0"/>
    <x v="0"/>
    <x v="0"/>
    <x v="0"/>
    <n v="46"/>
    <x v="0"/>
    <x v="0"/>
    <x v="0"/>
    <n v="46"/>
  </r>
  <r>
    <x v="3"/>
    <x v="0"/>
    <x v="31"/>
    <x v="2"/>
    <x v="2"/>
    <x v="2"/>
    <x v="0"/>
    <x v="0"/>
    <m/>
    <x v="0"/>
    <x v="0"/>
    <x v="0"/>
    <x v="0"/>
    <n v="46"/>
    <x v="0"/>
    <x v="0"/>
    <x v="1"/>
    <n v="50"/>
  </r>
  <r>
    <x v="3"/>
    <x v="0"/>
    <x v="32"/>
    <x v="4"/>
    <x v="6"/>
    <x v="1"/>
    <x v="0"/>
    <x v="1"/>
    <n v="48"/>
    <x v="0"/>
    <x v="0"/>
    <x v="0"/>
    <x v="0"/>
    <n v="30"/>
    <x v="2"/>
    <x v="1"/>
    <x v="1"/>
    <n v="40"/>
  </r>
  <r>
    <x v="3"/>
    <x v="0"/>
    <x v="32"/>
    <x v="4"/>
    <x v="6"/>
    <x v="1"/>
    <x v="0"/>
    <x v="1"/>
    <n v="48"/>
    <x v="0"/>
    <x v="0"/>
    <x v="0"/>
    <x v="0"/>
    <n v="30"/>
    <x v="2"/>
    <x v="2"/>
    <x v="1"/>
    <n v="40"/>
  </r>
  <r>
    <x v="3"/>
    <x v="0"/>
    <x v="32"/>
    <x v="4"/>
    <x v="6"/>
    <x v="1"/>
    <x v="0"/>
    <x v="1"/>
    <n v="48"/>
    <x v="0"/>
    <x v="0"/>
    <x v="0"/>
    <x v="0"/>
    <n v="30"/>
    <x v="2"/>
    <x v="0"/>
    <x v="0"/>
    <n v="-60"/>
  </r>
  <r>
    <x v="3"/>
    <x v="0"/>
    <x v="32"/>
    <x v="4"/>
    <x v="6"/>
    <x v="1"/>
    <x v="0"/>
    <x v="1"/>
    <n v="48"/>
    <x v="0"/>
    <x v="0"/>
    <x v="0"/>
    <x v="0"/>
    <n v="30"/>
    <x v="2"/>
    <x v="0"/>
    <x v="1"/>
    <n v="-50"/>
  </r>
  <r>
    <x v="3"/>
    <x v="0"/>
    <x v="33"/>
    <x v="2"/>
    <x v="2"/>
    <x v="1"/>
    <x v="2"/>
    <x v="1"/>
    <m/>
    <x v="0"/>
    <x v="0"/>
    <x v="0"/>
    <x v="0"/>
    <n v="23"/>
    <x v="2"/>
    <x v="1"/>
    <x v="1"/>
    <n v="40"/>
  </r>
  <r>
    <x v="3"/>
    <x v="0"/>
    <x v="33"/>
    <x v="2"/>
    <x v="2"/>
    <x v="1"/>
    <x v="2"/>
    <x v="1"/>
    <m/>
    <x v="0"/>
    <x v="0"/>
    <x v="0"/>
    <x v="0"/>
    <n v="23"/>
    <x v="2"/>
    <x v="2"/>
    <x v="0"/>
    <n v="-46"/>
  </r>
  <r>
    <x v="3"/>
    <x v="0"/>
    <x v="33"/>
    <x v="2"/>
    <x v="2"/>
    <x v="1"/>
    <x v="2"/>
    <x v="1"/>
    <m/>
    <x v="0"/>
    <x v="0"/>
    <x v="0"/>
    <x v="0"/>
    <n v="23"/>
    <x v="2"/>
    <x v="2"/>
    <x v="1"/>
    <n v="-50"/>
  </r>
  <r>
    <x v="3"/>
    <x v="0"/>
    <x v="33"/>
    <x v="2"/>
    <x v="2"/>
    <x v="1"/>
    <x v="2"/>
    <x v="1"/>
    <m/>
    <x v="0"/>
    <x v="0"/>
    <x v="0"/>
    <x v="0"/>
    <n v="23"/>
    <x v="2"/>
    <x v="0"/>
    <x v="1"/>
    <n v="40"/>
  </r>
  <r>
    <x v="3"/>
    <x v="0"/>
    <x v="34"/>
    <x v="4"/>
    <x v="4"/>
    <x v="0"/>
    <x v="0"/>
    <x v="0"/>
    <n v="92"/>
    <x v="0"/>
    <x v="0"/>
    <x v="0"/>
    <x v="0"/>
    <n v="30"/>
    <x v="0"/>
    <x v="0"/>
    <x v="0"/>
    <n v="30"/>
  </r>
  <r>
    <x v="3"/>
    <x v="0"/>
    <x v="34"/>
    <x v="4"/>
    <x v="4"/>
    <x v="0"/>
    <x v="0"/>
    <x v="0"/>
    <n v="92"/>
    <x v="0"/>
    <x v="0"/>
    <x v="0"/>
    <x v="0"/>
    <n v="30"/>
    <x v="0"/>
    <x v="0"/>
    <x v="1"/>
    <n v="50"/>
  </r>
  <r>
    <x v="3"/>
    <x v="0"/>
    <x v="35"/>
    <x v="4"/>
    <x v="1"/>
    <x v="1"/>
    <x v="1"/>
    <x v="0"/>
    <n v="73"/>
    <x v="0"/>
    <x v="0"/>
    <x v="0"/>
    <x v="0"/>
    <n v="40"/>
    <x v="0"/>
    <x v="1"/>
    <x v="0"/>
    <n v="40"/>
  </r>
  <r>
    <x v="3"/>
    <x v="0"/>
    <x v="35"/>
    <x v="4"/>
    <x v="1"/>
    <x v="1"/>
    <x v="1"/>
    <x v="0"/>
    <n v="73"/>
    <x v="0"/>
    <x v="0"/>
    <x v="0"/>
    <x v="0"/>
    <n v="40"/>
    <x v="0"/>
    <x v="1"/>
    <x v="1"/>
    <n v="50"/>
  </r>
  <r>
    <x v="4"/>
    <x v="0"/>
    <x v="0"/>
    <x v="0"/>
    <x v="6"/>
    <x v="0"/>
    <x v="2"/>
    <x v="0"/>
    <n v="95"/>
    <x v="0"/>
    <x v="0"/>
    <x v="0"/>
    <x v="0"/>
    <n v="96"/>
    <x v="0"/>
    <x v="2"/>
    <x v="0"/>
    <n v="96"/>
  </r>
  <r>
    <x v="4"/>
    <x v="0"/>
    <x v="0"/>
    <x v="0"/>
    <x v="6"/>
    <x v="0"/>
    <x v="2"/>
    <x v="0"/>
    <n v="95"/>
    <x v="0"/>
    <x v="0"/>
    <x v="0"/>
    <x v="0"/>
    <n v="96"/>
    <x v="0"/>
    <x v="2"/>
    <x v="1"/>
    <n v="50"/>
  </r>
  <r>
    <x v="4"/>
    <x v="0"/>
    <x v="1"/>
    <x v="4"/>
    <x v="5"/>
    <x v="1"/>
    <x v="0"/>
    <x v="0"/>
    <n v="85"/>
    <x v="0"/>
    <x v="0"/>
    <x v="0"/>
    <x v="0"/>
    <n v="20"/>
    <x v="0"/>
    <x v="0"/>
    <x v="0"/>
    <n v="20"/>
  </r>
  <r>
    <x v="4"/>
    <x v="0"/>
    <x v="1"/>
    <x v="4"/>
    <x v="5"/>
    <x v="1"/>
    <x v="0"/>
    <x v="0"/>
    <n v="85"/>
    <x v="0"/>
    <x v="0"/>
    <x v="0"/>
    <x v="0"/>
    <n v="20"/>
    <x v="0"/>
    <x v="0"/>
    <x v="1"/>
    <n v="50"/>
  </r>
  <r>
    <x v="4"/>
    <x v="0"/>
    <x v="2"/>
    <x v="0"/>
    <x v="5"/>
    <x v="1"/>
    <x v="1"/>
    <x v="0"/>
    <n v="84"/>
    <x v="0"/>
    <x v="0"/>
    <x v="0"/>
    <x v="0"/>
    <n v="48"/>
    <x v="0"/>
    <x v="1"/>
    <x v="0"/>
    <n v="48"/>
  </r>
  <r>
    <x v="4"/>
    <x v="0"/>
    <x v="2"/>
    <x v="0"/>
    <x v="5"/>
    <x v="1"/>
    <x v="1"/>
    <x v="0"/>
    <n v="84"/>
    <x v="0"/>
    <x v="0"/>
    <x v="0"/>
    <x v="0"/>
    <n v="48"/>
    <x v="0"/>
    <x v="1"/>
    <x v="1"/>
    <n v="50"/>
  </r>
  <r>
    <x v="4"/>
    <x v="0"/>
    <x v="3"/>
    <x v="5"/>
    <x v="8"/>
    <x v="1"/>
    <x v="0"/>
    <x v="0"/>
    <n v="62"/>
    <x v="0"/>
    <x v="0"/>
    <x v="0"/>
    <x v="0"/>
    <n v="36"/>
    <x v="0"/>
    <x v="0"/>
    <x v="0"/>
    <n v="36"/>
  </r>
  <r>
    <x v="4"/>
    <x v="0"/>
    <x v="3"/>
    <x v="5"/>
    <x v="8"/>
    <x v="1"/>
    <x v="0"/>
    <x v="0"/>
    <n v="62"/>
    <x v="0"/>
    <x v="0"/>
    <x v="0"/>
    <x v="0"/>
    <n v="36"/>
    <x v="0"/>
    <x v="0"/>
    <x v="1"/>
    <n v="50"/>
  </r>
  <r>
    <x v="4"/>
    <x v="0"/>
    <x v="4"/>
    <x v="1"/>
    <x v="5"/>
    <x v="1"/>
    <x v="2"/>
    <x v="1"/>
    <n v="40"/>
    <x v="0"/>
    <x v="0"/>
    <x v="0"/>
    <x v="0"/>
    <n v="22"/>
    <x v="2"/>
    <x v="2"/>
    <x v="0"/>
    <n v="-44"/>
  </r>
  <r>
    <x v="4"/>
    <x v="0"/>
    <x v="4"/>
    <x v="1"/>
    <x v="5"/>
    <x v="1"/>
    <x v="2"/>
    <x v="1"/>
    <n v="40"/>
    <x v="0"/>
    <x v="0"/>
    <x v="0"/>
    <x v="0"/>
    <n v="22"/>
    <x v="2"/>
    <x v="2"/>
    <x v="1"/>
    <n v="-50"/>
  </r>
  <r>
    <x v="4"/>
    <x v="0"/>
    <x v="4"/>
    <x v="1"/>
    <x v="5"/>
    <x v="1"/>
    <x v="2"/>
    <x v="1"/>
    <n v="40"/>
    <x v="0"/>
    <x v="0"/>
    <x v="0"/>
    <x v="0"/>
    <n v="22"/>
    <x v="2"/>
    <x v="0"/>
    <x v="1"/>
    <n v="40"/>
  </r>
  <r>
    <x v="4"/>
    <x v="0"/>
    <x v="4"/>
    <x v="1"/>
    <x v="5"/>
    <x v="1"/>
    <x v="2"/>
    <x v="1"/>
    <n v="40"/>
    <x v="0"/>
    <x v="0"/>
    <x v="0"/>
    <x v="0"/>
    <n v="22"/>
    <x v="2"/>
    <x v="1"/>
    <x v="1"/>
    <n v="40"/>
  </r>
  <r>
    <x v="4"/>
    <x v="0"/>
    <x v="5"/>
    <x v="1"/>
    <x v="5"/>
    <x v="1"/>
    <x v="1"/>
    <x v="1"/>
    <n v="55"/>
    <x v="0"/>
    <x v="0"/>
    <x v="0"/>
    <x v="0"/>
    <n v="22"/>
    <x v="2"/>
    <x v="2"/>
    <x v="1"/>
    <n v="40"/>
  </r>
  <r>
    <x v="4"/>
    <x v="0"/>
    <x v="5"/>
    <x v="1"/>
    <x v="5"/>
    <x v="1"/>
    <x v="1"/>
    <x v="1"/>
    <n v="55"/>
    <x v="0"/>
    <x v="0"/>
    <x v="0"/>
    <x v="0"/>
    <n v="22"/>
    <x v="2"/>
    <x v="0"/>
    <x v="1"/>
    <n v="40"/>
  </r>
  <r>
    <x v="4"/>
    <x v="0"/>
    <x v="5"/>
    <x v="1"/>
    <x v="5"/>
    <x v="1"/>
    <x v="1"/>
    <x v="1"/>
    <n v="55"/>
    <x v="0"/>
    <x v="0"/>
    <x v="0"/>
    <x v="0"/>
    <n v="22"/>
    <x v="2"/>
    <x v="1"/>
    <x v="0"/>
    <n v="-44"/>
  </r>
  <r>
    <x v="4"/>
    <x v="0"/>
    <x v="5"/>
    <x v="1"/>
    <x v="5"/>
    <x v="1"/>
    <x v="1"/>
    <x v="1"/>
    <n v="55"/>
    <x v="0"/>
    <x v="0"/>
    <x v="0"/>
    <x v="0"/>
    <n v="22"/>
    <x v="2"/>
    <x v="1"/>
    <x v="1"/>
    <n v="-50"/>
  </r>
  <r>
    <x v="4"/>
    <x v="0"/>
    <x v="6"/>
    <x v="0"/>
    <x v="0"/>
    <x v="1"/>
    <x v="1"/>
    <x v="0"/>
    <n v="88"/>
    <x v="0"/>
    <x v="0"/>
    <x v="0"/>
    <x v="0"/>
    <n v="120"/>
    <x v="0"/>
    <x v="1"/>
    <x v="0"/>
    <n v="120"/>
  </r>
  <r>
    <x v="4"/>
    <x v="0"/>
    <x v="6"/>
    <x v="0"/>
    <x v="0"/>
    <x v="1"/>
    <x v="1"/>
    <x v="0"/>
    <n v="88"/>
    <x v="0"/>
    <x v="0"/>
    <x v="0"/>
    <x v="0"/>
    <n v="120"/>
    <x v="0"/>
    <x v="1"/>
    <x v="1"/>
    <n v="50"/>
  </r>
  <r>
    <x v="4"/>
    <x v="0"/>
    <x v="7"/>
    <x v="5"/>
    <x v="0"/>
    <x v="0"/>
    <x v="2"/>
    <x v="0"/>
    <n v="95"/>
    <x v="0"/>
    <x v="0"/>
    <x v="0"/>
    <x v="0"/>
    <n v="72"/>
    <x v="0"/>
    <x v="2"/>
    <x v="0"/>
    <n v="72"/>
  </r>
  <r>
    <x v="4"/>
    <x v="0"/>
    <x v="7"/>
    <x v="5"/>
    <x v="0"/>
    <x v="0"/>
    <x v="2"/>
    <x v="0"/>
    <n v="95"/>
    <x v="0"/>
    <x v="0"/>
    <x v="0"/>
    <x v="0"/>
    <n v="72"/>
    <x v="0"/>
    <x v="2"/>
    <x v="1"/>
    <n v="50"/>
  </r>
  <r>
    <x v="4"/>
    <x v="0"/>
    <x v="8"/>
    <x v="1"/>
    <x v="5"/>
    <x v="1"/>
    <x v="1"/>
    <x v="1"/>
    <n v="48"/>
    <x v="0"/>
    <x v="0"/>
    <x v="0"/>
    <x v="0"/>
    <n v="22"/>
    <x v="2"/>
    <x v="2"/>
    <x v="1"/>
    <n v="40"/>
  </r>
  <r>
    <x v="4"/>
    <x v="0"/>
    <x v="8"/>
    <x v="1"/>
    <x v="5"/>
    <x v="1"/>
    <x v="1"/>
    <x v="1"/>
    <n v="48"/>
    <x v="0"/>
    <x v="0"/>
    <x v="0"/>
    <x v="0"/>
    <n v="22"/>
    <x v="2"/>
    <x v="0"/>
    <x v="1"/>
    <n v="40"/>
  </r>
  <r>
    <x v="4"/>
    <x v="0"/>
    <x v="8"/>
    <x v="1"/>
    <x v="5"/>
    <x v="1"/>
    <x v="1"/>
    <x v="1"/>
    <n v="48"/>
    <x v="0"/>
    <x v="0"/>
    <x v="0"/>
    <x v="0"/>
    <n v="22"/>
    <x v="2"/>
    <x v="1"/>
    <x v="0"/>
    <n v="-44"/>
  </r>
  <r>
    <x v="4"/>
    <x v="0"/>
    <x v="8"/>
    <x v="1"/>
    <x v="5"/>
    <x v="1"/>
    <x v="1"/>
    <x v="1"/>
    <n v="48"/>
    <x v="0"/>
    <x v="0"/>
    <x v="0"/>
    <x v="0"/>
    <n v="22"/>
    <x v="2"/>
    <x v="1"/>
    <x v="1"/>
    <n v="-50"/>
  </r>
  <r>
    <x v="4"/>
    <x v="0"/>
    <x v="9"/>
    <x v="1"/>
    <x v="4"/>
    <x v="1"/>
    <x v="0"/>
    <x v="0"/>
    <n v="68"/>
    <x v="0"/>
    <x v="0"/>
    <x v="0"/>
    <x v="0"/>
    <n v="22"/>
    <x v="0"/>
    <x v="0"/>
    <x v="0"/>
    <n v="22"/>
  </r>
  <r>
    <x v="4"/>
    <x v="0"/>
    <x v="9"/>
    <x v="1"/>
    <x v="4"/>
    <x v="1"/>
    <x v="0"/>
    <x v="0"/>
    <n v="68"/>
    <x v="0"/>
    <x v="0"/>
    <x v="0"/>
    <x v="0"/>
    <n v="22"/>
    <x v="0"/>
    <x v="0"/>
    <x v="1"/>
    <n v="50"/>
  </r>
  <r>
    <x v="4"/>
    <x v="0"/>
    <x v="10"/>
    <x v="5"/>
    <x v="4"/>
    <x v="1"/>
    <x v="1"/>
    <x v="1"/>
    <n v="60"/>
    <x v="0"/>
    <x v="0"/>
    <x v="0"/>
    <x v="0"/>
    <n v="24"/>
    <x v="2"/>
    <x v="2"/>
    <x v="1"/>
    <n v="40"/>
  </r>
  <r>
    <x v="4"/>
    <x v="0"/>
    <x v="10"/>
    <x v="5"/>
    <x v="4"/>
    <x v="1"/>
    <x v="1"/>
    <x v="1"/>
    <n v="60"/>
    <x v="0"/>
    <x v="0"/>
    <x v="0"/>
    <x v="0"/>
    <n v="24"/>
    <x v="2"/>
    <x v="0"/>
    <x v="1"/>
    <n v="40"/>
  </r>
  <r>
    <x v="4"/>
    <x v="0"/>
    <x v="10"/>
    <x v="5"/>
    <x v="4"/>
    <x v="1"/>
    <x v="1"/>
    <x v="1"/>
    <n v="60"/>
    <x v="0"/>
    <x v="0"/>
    <x v="0"/>
    <x v="0"/>
    <n v="24"/>
    <x v="2"/>
    <x v="1"/>
    <x v="0"/>
    <n v="-48"/>
  </r>
  <r>
    <x v="4"/>
    <x v="0"/>
    <x v="10"/>
    <x v="5"/>
    <x v="4"/>
    <x v="1"/>
    <x v="1"/>
    <x v="1"/>
    <n v="60"/>
    <x v="0"/>
    <x v="0"/>
    <x v="0"/>
    <x v="0"/>
    <n v="24"/>
    <x v="2"/>
    <x v="1"/>
    <x v="1"/>
    <n v="-50"/>
  </r>
  <r>
    <x v="4"/>
    <x v="0"/>
    <x v="11"/>
    <x v="2"/>
    <x v="2"/>
    <x v="1"/>
    <x v="1"/>
    <x v="1"/>
    <m/>
    <x v="1"/>
    <x v="0"/>
    <x v="0"/>
    <x v="0"/>
    <n v="23"/>
    <x v="4"/>
    <x v="2"/>
    <x v="1"/>
    <n v="40"/>
  </r>
  <r>
    <x v="4"/>
    <x v="0"/>
    <x v="11"/>
    <x v="2"/>
    <x v="2"/>
    <x v="1"/>
    <x v="1"/>
    <x v="1"/>
    <m/>
    <x v="1"/>
    <x v="0"/>
    <x v="0"/>
    <x v="0"/>
    <n v="23"/>
    <x v="4"/>
    <x v="0"/>
    <x v="1"/>
    <n v="40"/>
  </r>
  <r>
    <x v="4"/>
    <x v="0"/>
    <x v="11"/>
    <x v="2"/>
    <x v="2"/>
    <x v="1"/>
    <x v="1"/>
    <x v="1"/>
    <m/>
    <x v="1"/>
    <x v="0"/>
    <x v="0"/>
    <x v="0"/>
    <n v="23"/>
    <x v="4"/>
    <x v="1"/>
    <x v="0"/>
    <n v="-92"/>
  </r>
  <r>
    <x v="4"/>
    <x v="0"/>
    <x v="11"/>
    <x v="2"/>
    <x v="2"/>
    <x v="1"/>
    <x v="1"/>
    <x v="1"/>
    <m/>
    <x v="1"/>
    <x v="0"/>
    <x v="0"/>
    <x v="0"/>
    <n v="23"/>
    <x v="4"/>
    <x v="1"/>
    <x v="1"/>
    <n v="-50"/>
  </r>
  <r>
    <x v="4"/>
    <x v="0"/>
    <x v="12"/>
    <x v="6"/>
    <x v="5"/>
    <x v="1"/>
    <x v="1"/>
    <x v="0"/>
    <n v="71"/>
    <x v="1"/>
    <x v="0"/>
    <x v="0"/>
    <x v="0"/>
    <n v="18"/>
    <x v="3"/>
    <x v="1"/>
    <x v="0"/>
    <n v="36"/>
  </r>
  <r>
    <x v="4"/>
    <x v="0"/>
    <x v="12"/>
    <x v="6"/>
    <x v="5"/>
    <x v="1"/>
    <x v="1"/>
    <x v="0"/>
    <n v="71"/>
    <x v="1"/>
    <x v="0"/>
    <x v="0"/>
    <x v="0"/>
    <n v="18"/>
    <x v="3"/>
    <x v="1"/>
    <x v="1"/>
    <n v="50"/>
  </r>
  <r>
    <x v="4"/>
    <x v="0"/>
    <x v="13"/>
    <x v="6"/>
    <x v="5"/>
    <x v="1"/>
    <x v="1"/>
    <x v="1"/>
    <n v="50"/>
    <x v="1"/>
    <x v="0"/>
    <x v="0"/>
    <x v="0"/>
    <n v="18"/>
    <x v="4"/>
    <x v="2"/>
    <x v="1"/>
    <n v="40"/>
  </r>
  <r>
    <x v="4"/>
    <x v="0"/>
    <x v="13"/>
    <x v="6"/>
    <x v="5"/>
    <x v="1"/>
    <x v="1"/>
    <x v="1"/>
    <n v="50"/>
    <x v="1"/>
    <x v="0"/>
    <x v="0"/>
    <x v="0"/>
    <n v="18"/>
    <x v="4"/>
    <x v="0"/>
    <x v="1"/>
    <n v="40"/>
  </r>
  <r>
    <x v="4"/>
    <x v="0"/>
    <x v="13"/>
    <x v="6"/>
    <x v="5"/>
    <x v="1"/>
    <x v="1"/>
    <x v="1"/>
    <n v="50"/>
    <x v="1"/>
    <x v="0"/>
    <x v="0"/>
    <x v="0"/>
    <n v="18"/>
    <x v="4"/>
    <x v="1"/>
    <x v="0"/>
    <n v="-72"/>
  </r>
  <r>
    <x v="4"/>
    <x v="0"/>
    <x v="13"/>
    <x v="6"/>
    <x v="5"/>
    <x v="1"/>
    <x v="1"/>
    <x v="1"/>
    <n v="50"/>
    <x v="1"/>
    <x v="0"/>
    <x v="0"/>
    <x v="0"/>
    <n v="18"/>
    <x v="4"/>
    <x v="1"/>
    <x v="1"/>
    <n v="-50"/>
  </r>
  <r>
    <x v="4"/>
    <x v="0"/>
    <x v="14"/>
    <x v="5"/>
    <x v="6"/>
    <x v="0"/>
    <x v="1"/>
    <x v="0"/>
    <n v="102"/>
    <x v="0"/>
    <x v="0"/>
    <x v="0"/>
    <x v="0"/>
    <n v="48"/>
    <x v="0"/>
    <x v="1"/>
    <x v="0"/>
    <n v="48"/>
  </r>
  <r>
    <x v="4"/>
    <x v="0"/>
    <x v="14"/>
    <x v="5"/>
    <x v="6"/>
    <x v="0"/>
    <x v="1"/>
    <x v="0"/>
    <n v="102"/>
    <x v="0"/>
    <x v="0"/>
    <x v="0"/>
    <x v="0"/>
    <n v="48"/>
    <x v="0"/>
    <x v="1"/>
    <x v="1"/>
    <n v="50"/>
  </r>
  <r>
    <x v="4"/>
    <x v="0"/>
    <x v="15"/>
    <x v="5"/>
    <x v="5"/>
    <x v="1"/>
    <x v="0"/>
    <x v="0"/>
    <n v="71"/>
    <x v="0"/>
    <x v="0"/>
    <x v="0"/>
    <x v="0"/>
    <n v="24"/>
    <x v="0"/>
    <x v="0"/>
    <x v="0"/>
    <n v="24"/>
  </r>
  <r>
    <x v="4"/>
    <x v="0"/>
    <x v="15"/>
    <x v="5"/>
    <x v="5"/>
    <x v="1"/>
    <x v="0"/>
    <x v="0"/>
    <n v="71"/>
    <x v="0"/>
    <x v="0"/>
    <x v="0"/>
    <x v="0"/>
    <n v="24"/>
    <x v="0"/>
    <x v="0"/>
    <x v="1"/>
    <n v="50"/>
  </r>
  <r>
    <x v="4"/>
    <x v="0"/>
    <x v="16"/>
    <x v="4"/>
    <x v="7"/>
    <x v="1"/>
    <x v="1"/>
    <x v="0"/>
    <n v="81"/>
    <x v="0"/>
    <x v="0"/>
    <x v="0"/>
    <x v="0"/>
    <n v="40"/>
    <x v="0"/>
    <x v="1"/>
    <x v="0"/>
    <n v="40"/>
  </r>
  <r>
    <x v="4"/>
    <x v="0"/>
    <x v="16"/>
    <x v="4"/>
    <x v="7"/>
    <x v="1"/>
    <x v="1"/>
    <x v="0"/>
    <n v="81"/>
    <x v="0"/>
    <x v="0"/>
    <x v="0"/>
    <x v="0"/>
    <n v="40"/>
    <x v="0"/>
    <x v="1"/>
    <x v="1"/>
    <n v="50"/>
  </r>
  <r>
    <x v="4"/>
    <x v="0"/>
    <x v="17"/>
    <x v="2"/>
    <x v="2"/>
    <x v="1"/>
    <x v="0"/>
    <x v="1"/>
    <m/>
    <x v="0"/>
    <x v="0"/>
    <x v="0"/>
    <x v="0"/>
    <n v="23"/>
    <x v="2"/>
    <x v="2"/>
    <x v="1"/>
    <n v="40"/>
  </r>
  <r>
    <x v="4"/>
    <x v="0"/>
    <x v="17"/>
    <x v="2"/>
    <x v="2"/>
    <x v="1"/>
    <x v="0"/>
    <x v="1"/>
    <m/>
    <x v="0"/>
    <x v="0"/>
    <x v="0"/>
    <x v="0"/>
    <n v="23"/>
    <x v="2"/>
    <x v="0"/>
    <x v="0"/>
    <n v="-46"/>
  </r>
  <r>
    <x v="4"/>
    <x v="0"/>
    <x v="17"/>
    <x v="2"/>
    <x v="2"/>
    <x v="1"/>
    <x v="0"/>
    <x v="1"/>
    <m/>
    <x v="0"/>
    <x v="0"/>
    <x v="0"/>
    <x v="0"/>
    <n v="23"/>
    <x v="2"/>
    <x v="0"/>
    <x v="1"/>
    <n v="-50"/>
  </r>
  <r>
    <x v="4"/>
    <x v="0"/>
    <x v="17"/>
    <x v="2"/>
    <x v="2"/>
    <x v="1"/>
    <x v="0"/>
    <x v="1"/>
    <m/>
    <x v="0"/>
    <x v="0"/>
    <x v="0"/>
    <x v="0"/>
    <n v="23"/>
    <x v="2"/>
    <x v="1"/>
    <x v="1"/>
    <n v="40"/>
  </r>
  <r>
    <x v="4"/>
    <x v="0"/>
    <x v="18"/>
    <x v="1"/>
    <x v="5"/>
    <x v="0"/>
    <x v="0"/>
    <x v="1"/>
    <n v="28"/>
    <x v="0"/>
    <x v="0"/>
    <x v="0"/>
    <x v="0"/>
    <n v="33"/>
    <x v="2"/>
    <x v="2"/>
    <x v="1"/>
    <n v="40"/>
  </r>
  <r>
    <x v="4"/>
    <x v="0"/>
    <x v="18"/>
    <x v="1"/>
    <x v="5"/>
    <x v="0"/>
    <x v="0"/>
    <x v="1"/>
    <n v="28"/>
    <x v="0"/>
    <x v="0"/>
    <x v="0"/>
    <x v="0"/>
    <n v="33"/>
    <x v="2"/>
    <x v="0"/>
    <x v="0"/>
    <n v="-66"/>
  </r>
  <r>
    <x v="4"/>
    <x v="0"/>
    <x v="18"/>
    <x v="1"/>
    <x v="5"/>
    <x v="0"/>
    <x v="0"/>
    <x v="1"/>
    <n v="28"/>
    <x v="0"/>
    <x v="0"/>
    <x v="0"/>
    <x v="0"/>
    <n v="33"/>
    <x v="2"/>
    <x v="0"/>
    <x v="1"/>
    <n v="-50"/>
  </r>
  <r>
    <x v="4"/>
    <x v="0"/>
    <x v="18"/>
    <x v="1"/>
    <x v="5"/>
    <x v="0"/>
    <x v="0"/>
    <x v="1"/>
    <n v="28"/>
    <x v="0"/>
    <x v="0"/>
    <x v="0"/>
    <x v="0"/>
    <n v="33"/>
    <x v="2"/>
    <x v="1"/>
    <x v="1"/>
    <n v="40"/>
  </r>
  <r>
    <x v="4"/>
    <x v="0"/>
    <x v="19"/>
    <x v="1"/>
    <x v="6"/>
    <x v="1"/>
    <x v="0"/>
    <x v="0"/>
    <n v="73"/>
    <x v="1"/>
    <x v="0"/>
    <x v="0"/>
    <x v="0"/>
    <n v="33"/>
    <x v="3"/>
    <x v="0"/>
    <x v="0"/>
    <n v="66"/>
  </r>
  <r>
    <x v="4"/>
    <x v="0"/>
    <x v="19"/>
    <x v="1"/>
    <x v="6"/>
    <x v="1"/>
    <x v="0"/>
    <x v="0"/>
    <n v="73"/>
    <x v="1"/>
    <x v="0"/>
    <x v="0"/>
    <x v="0"/>
    <n v="33"/>
    <x v="3"/>
    <x v="0"/>
    <x v="1"/>
    <n v="50"/>
  </r>
  <r>
    <x v="4"/>
    <x v="0"/>
    <x v="20"/>
    <x v="0"/>
    <x v="5"/>
    <x v="1"/>
    <x v="2"/>
    <x v="0"/>
    <n v="81"/>
    <x v="1"/>
    <x v="0"/>
    <x v="0"/>
    <x v="0"/>
    <n v="48"/>
    <x v="3"/>
    <x v="2"/>
    <x v="0"/>
    <n v="96"/>
  </r>
  <r>
    <x v="4"/>
    <x v="0"/>
    <x v="20"/>
    <x v="0"/>
    <x v="5"/>
    <x v="1"/>
    <x v="2"/>
    <x v="0"/>
    <n v="81"/>
    <x v="1"/>
    <x v="0"/>
    <x v="0"/>
    <x v="0"/>
    <n v="48"/>
    <x v="3"/>
    <x v="2"/>
    <x v="1"/>
    <n v="50"/>
  </r>
  <r>
    <x v="4"/>
    <x v="0"/>
    <x v="21"/>
    <x v="6"/>
    <x v="7"/>
    <x v="1"/>
    <x v="1"/>
    <x v="0"/>
    <n v="69"/>
    <x v="1"/>
    <x v="0"/>
    <x v="0"/>
    <x v="0"/>
    <n v="36"/>
    <x v="3"/>
    <x v="1"/>
    <x v="0"/>
    <n v="72"/>
  </r>
  <r>
    <x v="4"/>
    <x v="0"/>
    <x v="21"/>
    <x v="6"/>
    <x v="7"/>
    <x v="1"/>
    <x v="1"/>
    <x v="0"/>
    <n v="69"/>
    <x v="1"/>
    <x v="0"/>
    <x v="0"/>
    <x v="0"/>
    <n v="36"/>
    <x v="3"/>
    <x v="1"/>
    <x v="1"/>
    <n v="50"/>
  </r>
  <r>
    <x v="4"/>
    <x v="0"/>
    <x v="22"/>
    <x v="6"/>
    <x v="5"/>
    <x v="0"/>
    <x v="1"/>
    <x v="0"/>
    <n v="96"/>
    <x v="0"/>
    <x v="0"/>
    <x v="0"/>
    <x v="0"/>
    <n v="27"/>
    <x v="0"/>
    <x v="1"/>
    <x v="0"/>
    <n v="27"/>
  </r>
  <r>
    <x v="4"/>
    <x v="0"/>
    <x v="22"/>
    <x v="6"/>
    <x v="5"/>
    <x v="0"/>
    <x v="1"/>
    <x v="0"/>
    <n v="96"/>
    <x v="0"/>
    <x v="0"/>
    <x v="0"/>
    <x v="0"/>
    <n v="27"/>
    <x v="0"/>
    <x v="1"/>
    <x v="1"/>
    <n v="50"/>
  </r>
  <r>
    <x v="4"/>
    <x v="0"/>
    <x v="23"/>
    <x v="5"/>
    <x v="4"/>
    <x v="0"/>
    <x v="2"/>
    <x v="0"/>
    <n v="99"/>
    <x v="0"/>
    <x v="0"/>
    <x v="0"/>
    <x v="0"/>
    <n v="36"/>
    <x v="0"/>
    <x v="2"/>
    <x v="0"/>
    <n v="36"/>
  </r>
  <r>
    <x v="4"/>
    <x v="0"/>
    <x v="23"/>
    <x v="5"/>
    <x v="4"/>
    <x v="0"/>
    <x v="2"/>
    <x v="0"/>
    <n v="99"/>
    <x v="0"/>
    <x v="0"/>
    <x v="0"/>
    <x v="0"/>
    <n v="36"/>
    <x v="0"/>
    <x v="2"/>
    <x v="1"/>
    <n v="50"/>
  </r>
  <r>
    <x v="4"/>
    <x v="0"/>
    <x v="24"/>
    <x v="0"/>
    <x v="1"/>
    <x v="1"/>
    <x v="1"/>
    <x v="0"/>
    <n v="88"/>
    <x v="0"/>
    <x v="0"/>
    <x v="0"/>
    <x v="0"/>
    <n v="96"/>
    <x v="0"/>
    <x v="1"/>
    <x v="0"/>
    <n v="96"/>
  </r>
  <r>
    <x v="4"/>
    <x v="0"/>
    <x v="24"/>
    <x v="0"/>
    <x v="1"/>
    <x v="1"/>
    <x v="1"/>
    <x v="0"/>
    <n v="88"/>
    <x v="0"/>
    <x v="0"/>
    <x v="0"/>
    <x v="0"/>
    <n v="96"/>
    <x v="0"/>
    <x v="1"/>
    <x v="1"/>
    <n v="50"/>
  </r>
  <r>
    <x v="4"/>
    <x v="0"/>
    <x v="25"/>
    <x v="2"/>
    <x v="2"/>
    <x v="1"/>
    <x v="2"/>
    <x v="1"/>
    <m/>
    <x v="0"/>
    <x v="0"/>
    <x v="0"/>
    <x v="0"/>
    <n v="23"/>
    <x v="2"/>
    <x v="2"/>
    <x v="0"/>
    <n v="-46"/>
  </r>
  <r>
    <x v="4"/>
    <x v="0"/>
    <x v="25"/>
    <x v="2"/>
    <x v="2"/>
    <x v="1"/>
    <x v="2"/>
    <x v="1"/>
    <m/>
    <x v="0"/>
    <x v="0"/>
    <x v="0"/>
    <x v="0"/>
    <n v="23"/>
    <x v="2"/>
    <x v="2"/>
    <x v="1"/>
    <n v="-50"/>
  </r>
  <r>
    <x v="4"/>
    <x v="0"/>
    <x v="25"/>
    <x v="2"/>
    <x v="2"/>
    <x v="1"/>
    <x v="2"/>
    <x v="1"/>
    <m/>
    <x v="0"/>
    <x v="0"/>
    <x v="0"/>
    <x v="0"/>
    <n v="23"/>
    <x v="2"/>
    <x v="0"/>
    <x v="1"/>
    <n v="40"/>
  </r>
  <r>
    <x v="4"/>
    <x v="0"/>
    <x v="25"/>
    <x v="2"/>
    <x v="2"/>
    <x v="1"/>
    <x v="2"/>
    <x v="1"/>
    <m/>
    <x v="0"/>
    <x v="0"/>
    <x v="0"/>
    <x v="0"/>
    <n v="23"/>
    <x v="2"/>
    <x v="1"/>
    <x v="1"/>
    <n v="40"/>
  </r>
  <r>
    <x v="4"/>
    <x v="0"/>
    <x v="26"/>
    <x v="1"/>
    <x v="4"/>
    <x v="1"/>
    <x v="2"/>
    <x v="1"/>
    <n v="55"/>
    <x v="0"/>
    <x v="0"/>
    <x v="0"/>
    <x v="0"/>
    <n v="22"/>
    <x v="2"/>
    <x v="2"/>
    <x v="0"/>
    <n v="-44"/>
  </r>
  <r>
    <x v="4"/>
    <x v="0"/>
    <x v="26"/>
    <x v="1"/>
    <x v="4"/>
    <x v="1"/>
    <x v="2"/>
    <x v="1"/>
    <n v="55"/>
    <x v="0"/>
    <x v="0"/>
    <x v="0"/>
    <x v="0"/>
    <n v="22"/>
    <x v="2"/>
    <x v="2"/>
    <x v="1"/>
    <n v="-50"/>
  </r>
  <r>
    <x v="4"/>
    <x v="0"/>
    <x v="26"/>
    <x v="1"/>
    <x v="4"/>
    <x v="1"/>
    <x v="2"/>
    <x v="1"/>
    <n v="55"/>
    <x v="0"/>
    <x v="0"/>
    <x v="0"/>
    <x v="0"/>
    <n v="22"/>
    <x v="2"/>
    <x v="0"/>
    <x v="1"/>
    <n v="40"/>
  </r>
  <r>
    <x v="4"/>
    <x v="0"/>
    <x v="26"/>
    <x v="1"/>
    <x v="4"/>
    <x v="1"/>
    <x v="2"/>
    <x v="1"/>
    <n v="55"/>
    <x v="0"/>
    <x v="0"/>
    <x v="0"/>
    <x v="0"/>
    <n v="22"/>
    <x v="2"/>
    <x v="1"/>
    <x v="1"/>
    <n v="40"/>
  </r>
  <r>
    <x v="4"/>
    <x v="0"/>
    <x v="27"/>
    <x v="1"/>
    <x v="8"/>
    <x v="1"/>
    <x v="2"/>
    <x v="1"/>
    <n v="49"/>
    <x v="0"/>
    <x v="0"/>
    <x v="0"/>
    <x v="0"/>
    <n v="33"/>
    <x v="2"/>
    <x v="2"/>
    <x v="0"/>
    <n v="-66"/>
  </r>
  <r>
    <x v="4"/>
    <x v="0"/>
    <x v="27"/>
    <x v="1"/>
    <x v="8"/>
    <x v="1"/>
    <x v="2"/>
    <x v="1"/>
    <n v="49"/>
    <x v="0"/>
    <x v="0"/>
    <x v="0"/>
    <x v="0"/>
    <n v="33"/>
    <x v="2"/>
    <x v="2"/>
    <x v="1"/>
    <n v="-50"/>
  </r>
  <r>
    <x v="4"/>
    <x v="0"/>
    <x v="27"/>
    <x v="1"/>
    <x v="8"/>
    <x v="1"/>
    <x v="2"/>
    <x v="1"/>
    <n v="49"/>
    <x v="0"/>
    <x v="0"/>
    <x v="0"/>
    <x v="0"/>
    <n v="33"/>
    <x v="2"/>
    <x v="0"/>
    <x v="1"/>
    <n v="40"/>
  </r>
  <r>
    <x v="4"/>
    <x v="0"/>
    <x v="27"/>
    <x v="1"/>
    <x v="8"/>
    <x v="1"/>
    <x v="2"/>
    <x v="1"/>
    <n v="49"/>
    <x v="0"/>
    <x v="0"/>
    <x v="0"/>
    <x v="0"/>
    <n v="33"/>
    <x v="2"/>
    <x v="1"/>
    <x v="1"/>
    <n v="40"/>
  </r>
  <r>
    <x v="4"/>
    <x v="0"/>
    <x v="28"/>
    <x v="4"/>
    <x v="5"/>
    <x v="1"/>
    <x v="0"/>
    <x v="0"/>
    <n v="85"/>
    <x v="0"/>
    <x v="0"/>
    <x v="0"/>
    <x v="0"/>
    <n v="20"/>
    <x v="0"/>
    <x v="0"/>
    <x v="0"/>
    <n v="20"/>
  </r>
  <r>
    <x v="4"/>
    <x v="0"/>
    <x v="28"/>
    <x v="4"/>
    <x v="5"/>
    <x v="1"/>
    <x v="0"/>
    <x v="0"/>
    <n v="85"/>
    <x v="0"/>
    <x v="0"/>
    <x v="0"/>
    <x v="0"/>
    <n v="20"/>
    <x v="0"/>
    <x v="0"/>
    <x v="1"/>
    <n v="50"/>
  </r>
  <r>
    <x v="4"/>
    <x v="0"/>
    <x v="29"/>
    <x v="5"/>
    <x v="5"/>
    <x v="1"/>
    <x v="0"/>
    <x v="0"/>
    <n v="81"/>
    <x v="0"/>
    <x v="0"/>
    <x v="0"/>
    <x v="0"/>
    <n v="24"/>
    <x v="0"/>
    <x v="0"/>
    <x v="0"/>
    <n v="24"/>
  </r>
  <r>
    <x v="4"/>
    <x v="0"/>
    <x v="29"/>
    <x v="5"/>
    <x v="5"/>
    <x v="1"/>
    <x v="0"/>
    <x v="0"/>
    <n v="81"/>
    <x v="0"/>
    <x v="0"/>
    <x v="0"/>
    <x v="0"/>
    <n v="24"/>
    <x v="0"/>
    <x v="0"/>
    <x v="1"/>
    <n v="50"/>
  </r>
  <r>
    <x v="4"/>
    <x v="0"/>
    <x v="30"/>
    <x v="1"/>
    <x v="1"/>
    <x v="0"/>
    <x v="1"/>
    <x v="0"/>
    <n v="96"/>
    <x v="0"/>
    <x v="0"/>
    <x v="0"/>
    <x v="0"/>
    <n v="55"/>
    <x v="0"/>
    <x v="1"/>
    <x v="0"/>
    <n v="55"/>
  </r>
  <r>
    <x v="4"/>
    <x v="0"/>
    <x v="30"/>
    <x v="1"/>
    <x v="1"/>
    <x v="0"/>
    <x v="1"/>
    <x v="0"/>
    <n v="96"/>
    <x v="0"/>
    <x v="0"/>
    <x v="0"/>
    <x v="0"/>
    <n v="55"/>
    <x v="0"/>
    <x v="1"/>
    <x v="1"/>
    <n v="50"/>
  </r>
  <r>
    <x v="4"/>
    <x v="0"/>
    <x v="31"/>
    <x v="0"/>
    <x v="0"/>
    <x v="1"/>
    <x v="0"/>
    <x v="0"/>
    <n v="77"/>
    <x v="0"/>
    <x v="0"/>
    <x v="0"/>
    <x v="0"/>
    <n v="120"/>
    <x v="0"/>
    <x v="0"/>
    <x v="0"/>
    <n v="120"/>
  </r>
  <r>
    <x v="4"/>
    <x v="0"/>
    <x v="31"/>
    <x v="0"/>
    <x v="0"/>
    <x v="1"/>
    <x v="0"/>
    <x v="0"/>
    <n v="77"/>
    <x v="0"/>
    <x v="0"/>
    <x v="0"/>
    <x v="0"/>
    <n v="120"/>
    <x v="0"/>
    <x v="0"/>
    <x v="1"/>
    <n v="50"/>
  </r>
  <r>
    <x v="4"/>
    <x v="0"/>
    <x v="32"/>
    <x v="5"/>
    <x v="6"/>
    <x v="1"/>
    <x v="0"/>
    <x v="0"/>
    <n v="85"/>
    <x v="0"/>
    <x v="0"/>
    <x v="0"/>
    <x v="0"/>
    <n v="36"/>
    <x v="0"/>
    <x v="0"/>
    <x v="0"/>
    <n v="36"/>
  </r>
  <r>
    <x v="4"/>
    <x v="0"/>
    <x v="32"/>
    <x v="5"/>
    <x v="6"/>
    <x v="1"/>
    <x v="0"/>
    <x v="0"/>
    <n v="85"/>
    <x v="0"/>
    <x v="0"/>
    <x v="0"/>
    <x v="0"/>
    <n v="36"/>
    <x v="0"/>
    <x v="0"/>
    <x v="1"/>
    <n v="50"/>
  </r>
  <r>
    <x v="4"/>
    <x v="0"/>
    <x v="33"/>
    <x v="1"/>
    <x v="8"/>
    <x v="1"/>
    <x v="0"/>
    <x v="1"/>
    <n v="60"/>
    <x v="0"/>
    <x v="0"/>
    <x v="0"/>
    <x v="0"/>
    <n v="33"/>
    <x v="2"/>
    <x v="2"/>
    <x v="1"/>
    <n v="40"/>
  </r>
  <r>
    <x v="4"/>
    <x v="0"/>
    <x v="33"/>
    <x v="1"/>
    <x v="8"/>
    <x v="1"/>
    <x v="0"/>
    <x v="1"/>
    <n v="60"/>
    <x v="0"/>
    <x v="0"/>
    <x v="0"/>
    <x v="0"/>
    <n v="33"/>
    <x v="2"/>
    <x v="0"/>
    <x v="0"/>
    <n v="-66"/>
  </r>
  <r>
    <x v="4"/>
    <x v="0"/>
    <x v="33"/>
    <x v="1"/>
    <x v="8"/>
    <x v="1"/>
    <x v="0"/>
    <x v="1"/>
    <n v="60"/>
    <x v="0"/>
    <x v="0"/>
    <x v="0"/>
    <x v="0"/>
    <n v="33"/>
    <x v="2"/>
    <x v="0"/>
    <x v="1"/>
    <n v="-50"/>
  </r>
  <r>
    <x v="4"/>
    <x v="0"/>
    <x v="33"/>
    <x v="1"/>
    <x v="8"/>
    <x v="1"/>
    <x v="0"/>
    <x v="1"/>
    <n v="60"/>
    <x v="0"/>
    <x v="0"/>
    <x v="0"/>
    <x v="0"/>
    <n v="33"/>
    <x v="2"/>
    <x v="1"/>
    <x v="1"/>
    <n v="40"/>
  </r>
  <r>
    <x v="4"/>
    <x v="0"/>
    <x v="34"/>
    <x v="1"/>
    <x v="4"/>
    <x v="1"/>
    <x v="1"/>
    <x v="0"/>
    <n v="87"/>
    <x v="1"/>
    <x v="0"/>
    <x v="0"/>
    <x v="0"/>
    <n v="22"/>
    <x v="3"/>
    <x v="1"/>
    <x v="0"/>
    <n v="44"/>
  </r>
  <r>
    <x v="4"/>
    <x v="0"/>
    <x v="34"/>
    <x v="1"/>
    <x v="4"/>
    <x v="1"/>
    <x v="1"/>
    <x v="0"/>
    <n v="87"/>
    <x v="1"/>
    <x v="0"/>
    <x v="0"/>
    <x v="0"/>
    <n v="22"/>
    <x v="3"/>
    <x v="1"/>
    <x v="1"/>
    <n v="50"/>
  </r>
  <r>
    <x v="4"/>
    <x v="0"/>
    <x v="35"/>
    <x v="3"/>
    <x v="2"/>
    <x v="1"/>
    <x v="1"/>
    <x v="1"/>
    <n v="72"/>
    <x v="1"/>
    <x v="0"/>
    <x v="0"/>
    <x v="0"/>
    <n v="72"/>
    <x v="2"/>
    <x v="2"/>
    <x v="1"/>
    <n v="40"/>
  </r>
  <r>
    <x v="4"/>
    <x v="0"/>
    <x v="35"/>
    <x v="3"/>
    <x v="2"/>
    <x v="1"/>
    <x v="1"/>
    <x v="1"/>
    <n v="72"/>
    <x v="1"/>
    <x v="0"/>
    <x v="0"/>
    <x v="0"/>
    <n v="72"/>
    <x v="2"/>
    <x v="0"/>
    <x v="1"/>
    <n v="40"/>
  </r>
  <r>
    <x v="4"/>
    <x v="0"/>
    <x v="35"/>
    <x v="3"/>
    <x v="2"/>
    <x v="1"/>
    <x v="1"/>
    <x v="1"/>
    <n v="72"/>
    <x v="1"/>
    <x v="0"/>
    <x v="0"/>
    <x v="0"/>
    <n v="72"/>
    <x v="2"/>
    <x v="1"/>
    <x v="0"/>
    <n v="-144"/>
  </r>
  <r>
    <x v="4"/>
    <x v="0"/>
    <x v="35"/>
    <x v="3"/>
    <x v="2"/>
    <x v="1"/>
    <x v="1"/>
    <x v="1"/>
    <n v="72"/>
    <x v="1"/>
    <x v="0"/>
    <x v="0"/>
    <x v="0"/>
    <n v="72"/>
    <x v="2"/>
    <x v="1"/>
    <x v="1"/>
    <n v="-50"/>
  </r>
</pivotCacheRecords>
</file>

<file path=xl/pivotCache/pivotCacheRecords2.xml><?xml version="1.0" encoding="utf-8"?>
<pivotCacheRecords xmlns="http://schemas.openxmlformats.org/spreadsheetml/2006/main" xmlns:r="http://schemas.openxmlformats.org/officeDocument/2006/relationships" count="368">
  <r>
    <x v="0"/>
    <x v="0"/>
    <n v="1"/>
    <x v="0"/>
    <x v="0"/>
    <x v="0"/>
    <x v="0"/>
    <x v="0"/>
    <n v="102"/>
    <x v="0"/>
    <x v="0"/>
    <x v="0"/>
    <x v="0"/>
    <n v="144"/>
    <x v="0"/>
    <x v="0"/>
    <n v="144"/>
    <x v="0"/>
    <x v="0"/>
    <n v="194"/>
  </r>
  <r>
    <x v="0"/>
    <x v="0"/>
    <n v="2"/>
    <x v="1"/>
    <x v="1"/>
    <x v="0"/>
    <x v="0"/>
    <x v="0"/>
    <n v="101"/>
    <x v="0"/>
    <x v="0"/>
    <x v="0"/>
    <x v="0"/>
    <n v="55"/>
    <x v="0"/>
    <x v="0"/>
    <n v="55"/>
    <x v="0"/>
    <x v="0"/>
    <n v="105"/>
  </r>
  <r>
    <x v="0"/>
    <x v="0"/>
    <n v="3"/>
    <x v="2"/>
    <x v="2"/>
    <x v="1"/>
    <x v="0"/>
    <x v="0"/>
    <n v="0"/>
    <x v="0"/>
    <x v="0"/>
    <x v="0"/>
    <x v="0"/>
    <n v="23"/>
    <x v="0"/>
    <x v="0"/>
    <n v="23"/>
    <x v="0"/>
    <x v="0"/>
    <n v="73"/>
  </r>
  <r>
    <x v="0"/>
    <x v="0"/>
    <n v="4"/>
    <x v="0"/>
    <x v="0"/>
    <x v="1"/>
    <x v="0"/>
    <x v="0"/>
    <n v="68"/>
    <x v="0"/>
    <x v="0"/>
    <x v="0"/>
    <x v="0"/>
    <n v="120"/>
    <x v="0"/>
    <x v="0"/>
    <n v="120"/>
    <x v="0"/>
    <x v="0"/>
    <n v="170"/>
  </r>
  <r>
    <x v="0"/>
    <x v="0"/>
    <n v="5"/>
    <x v="3"/>
    <x v="2"/>
    <x v="1"/>
    <x v="0"/>
    <x v="1"/>
    <n v="69"/>
    <x v="0"/>
    <x v="0"/>
    <x v="0"/>
    <x v="0"/>
    <n v="69"/>
    <x v="1"/>
    <x v="0"/>
    <n v="-69"/>
    <x v="1"/>
    <x v="1"/>
    <n v="-119"/>
  </r>
  <r>
    <x v="0"/>
    <x v="0"/>
    <n v="5"/>
    <x v="3"/>
    <x v="2"/>
    <x v="1"/>
    <x v="0"/>
    <x v="1"/>
    <n v="69"/>
    <x v="0"/>
    <x v="0"/>
    <x v="0"/>
    <x v="0"/>
    <n v="69"/>
    <x v="1"/>
    <x v="1"/>
    <n v="0"/>
    <x v="2"/>
    <x v="1"/>
    <n v="40"/>
  </r>
  <r>
    <x v="0"/>
    <x v="0"/>
    <n v="5"/>
    <x v="3"/>
    <x v="2"/>
    <x v="1"/>
    <x v="0"/>
    <x v="1"/>
    <n v="69"/>
    <x v="0"/>
    <x v="0"/>
    <x v="0"/>
    <x v="0"/>
    <n v="69"/>
    <x v="1"/>
    <x v="2"/>
    <n v="0"/>
    <x v="2"/>
    <x v="1"/>
    <n v="40"/>
  </r>
  <r>
    <x v="0"/>
    <x v="0"/>
    <n v="6"/>
    <x v="2"/>
    <x v="2"/>
    <x v="2"/>
    <x v="0"/>
    <x v="0"/>
    <n v="0"/>
    <x v="0"/>
    <x v="0"/>
    <x v="0"/>
    <x v="0"/>
    <n v="46"/>
    <x v="0"/>
    <x v="0"/>
    <n v="46"/>
    <x v="0"/>
    <x v="0"/>
    <n v="96"/>
  </r>
  <r>
    <x v="0"/>
    <x v="0"/>
    <n v="7"/>
    <x v="2"/>
    <x v="2"/>
    <x v="1"/>
    <x v="1"/>
    <x v="1"/>
    <n v="0"/>
    <x v="0"/>
    <x v="0"/>
    <x v="0"/>
    <x v="0"/>
    <n v="23"/>
    <x v="2"/>
    <x v="0"/>
    <n v="0"/>
    <x v="2"/>
    <x v="2"/>
    <n v="40"/>
  </r>
  <r>
    <x v="0"/>
    <x v="0"/>
    <n v="7"/>
    <x v="2"/>
    <x v="2"/>
    <x v="1"/>
    <x v="1"/>
    <x v="1"/>
    <n v="0"/>
    <x v="0"/>
    <x v="0"/>
    <x v="0"/>
    <x v="0"/>
    <n v="23"/>
    <x v="2"/>
    <x v="1"/>
    <n v="-46"/>
    <x v="1"/>
    <x v="0"/>
    <n v="-96"/>
  </r>
  <r>
    <x v="0"/>
    <x v="0"/>
    <n v="7"/>
    <x v="2"/>
    <x v="2"/>
    <x v="1"/>
    <x v="1"/>
    <x v="1"/>
    <n v="0"/>
    <x v="0"/>
    <x v="0"/>
    <x v="0"/>
    <x v="0"/>
    <n v="23"/>
    <x v="2"/>
    <x v="2"/>
    <n v="0"/>
    <x v="2"/>
    <x v="2"/>
    <n v="40"/>
  </r>
  <r>
    <x v="0"/>
    <x v="0"/>
    <n v="8"/>
    <x v="4"/>
    <x v="3"/>
    <x v="1"/>
    <x v="0"/>
    <x v="0"/>
    <n v="61"/>
    <x v="0"/>
    <x v="0"/>
    <x v="0"/>
    <x v="0"/>
    <n v="50"/>
    <x v="0"/>
    <x v="0"/>
    <n v="50"/>
    <x v="0"/>
    <x v="0"/>
    <n v="100"/>
  </r>
  <r>
    <x v="0"/>
    <x v="0"/>
    <n v="9"/>
    <x v="5"/>
    <x v="4"/>
    <x v="1"/>
    <x v="0"/>
    <x v="0"/>
    <n v="61"/>
    <x v="0"/>
    <x v="0"/>
    <x v="0"/>
    <x v="0"/>
    <n v="24"/>
    <x v="0"/>
    <x v="0"/>
    <n v="24"/>
    <x v="0"/>
    <x v="0"/>
    <n v="74"/>
  </r>
  <r>
    <x v="0"/>
    <x v="0"/>
    <n v="10"/>
    <x v="5"/>
    <x v="3"/>
    <x v="1"/>
    <x v="0"/>
    <x v="1"/>
    <n v="50"/>
    <x v="0"/>
    <x v="0"/>
    <x v="0"/>
    <x v="0"/>
    <n v="60"/>
    <x v="2"/>
    <x v="0"/>
    <n v="-120"/>
    <x v="1"/>
    <x v="0"/>
    <n v="-170"/>
  </r>
  <r>
    <x v="0"/>
    <x v="0"/>
    <n v="10"/>
    <x v="5"/>
    <x v="3"/>
    <x v="1"/>
    <x v="0"/>
    <x v="1"/>
    <n v="50"/>
    <x v="0"/>
    <x v="0"/>
    <x v="0"/>
    <x v="0"/>
    <n v="60"/>
    <x v="2"/>
    <x v="1"/>
    <n v="0"/>
    <x v="2"/>
    <x v="2"/>
    <n v="40"/>
  </r>
  <r>
    <x v="0"/>
    <x v="0"/>
    <n v="10"/>
    <x v="5"/>
    <x v="3"/>
    <x v="1"/>
    <x v="0"/>
    <x v="1"/>
    <n v="50"/>
    <x v="0"/>
    <x v="0"/>
    <x v="0"/>
    <x v="0"/>
    <n v="60"/>
    <x v="2"/>
    <x v="2"/>
    <n v="0"/>
    <x v="2"/>
    <x v="2"/>
    <n v="40"/>
  </r>
  <r>
    <x v="0"/>
    <x v="0"/>
    <n v="11"/>
    <x v="0"/>
    <x v="0"/>
    <x v="0"/>
    <x v="0"/>
    <x v="0"/>
    <n v="110"/>
    <x v="0"/>
    <x v="0"/>
    <x v="0"/>
    <x v="0"/>
    <n v="144"/>
    <x v="0"/>
    <x v="0"/>
    <n v="144"/>
    <x v="0"/>
    <x v="0"/>
    <n v="194"/>
  </r>
  <r>
    <x v="0"/>
    <x v="0"/>
    <n v="12"/>
    <x v="1"/>
    <x v="4"/>
    <x v="1"/>
    <x v="2"/>
    <x v="0"/>
    <n v="66"/>
    <x v="0"/>
    <x v="0"/>
    <x v="0"/>
    <x v="0"/>
    <n v="22"/>
    <x v="0"/>
    <x v="2"/>
    <n v="22"/>
    <x v="0"/>
    <x v="0"/>
    <n v="72"/>
  </r>
  <r>
    <x v="0"/>
    <x v="0"/>
    <n v="13"/>
    <x v="4"/>
    <x v="4"/>
    <x v="1"/>
    <x v="1"/>
    <x v="0"/>
    <n v="79"/>
    <x v="0"/>
    <x v="0"/>
    <x v="0"/>
    <x v="0"/>
    <n v="20"/>
    <x v="0"/>
    <x v="1"/>
    <n v="20"/>
    <x v="0"/>
    <x v="0"/>
    <n v="70"/>
  </r>
  <r>
    <x v="0"/>
    <x v="0"/>
    <n v="14"/>
    <x v="5"/>
    <x v="5"/>
    <x v="0"/>
    <x v="1"/>
    <x v="0"/>
    <n v="95"/>
    <x v="0"/>
    <x v="0"/>
    <x v="0"/>
    <x v="0"/>
    <n v="36"/>
    <x v="0"/>
    <x v="1"/>
    <n v="36"/>
    <x v="0"/>
    <x v="0"/>
    <n v="86"/>
  </r>
  <r>
    <x v="0"/>
    <x v="0"/>
    <n v="15"/>
    <x v="3"/>
    <x v="2"/>
    <x v="1"/>
    <x v="1"/>
    <x v="1"/>
    <n v="90"/>
    <x v="0"/>
    <x v="0"/>
    <x v="0"/>
    <x v="0"/>
    <n v="90"/>
    <x v="1"/>
    <x v="0"/>
    <n v="0"/>
    <x v="2"/>
    <x v="1"/>
    <n v="40"/>
  </r>
  <r>
    <x v="0"/>
    <x v="0"/>
    <n v="15"/>
    <x v="3"/>
    <x v="2"/>
    <x v="1"/>
    <x v="1"/>
    <x v="1"/>
    <n v="90"/>
    <x v="0"/>
    <x v="0"/>
    <x v="0"/>
    <x v="0"/>
    <n v="90"/>
    <x v="1"/>
    <x v="1"/>
    <n v="-90"/>
    <x v="1"/>
    <x v="1"/>
    <n v="-140"/>
  </r>
  <r>
    <x v="0"/>
    <x v="0"/>
    <n v="15"/>
    <x v="3"/>
    <x v="2"/>
    <x v="1"/>
    <x v="1"/>
    <x v="1"/>
    <n v="90"/>
    <x v="0"/>
    <x v="0"/>
    <x v="0"/>
    <x v="0"/>
    <n v="90"/>
    <x v="1"/>
    <x v="2"/>
    <n v="0"/>
    <x v="2"/>
    <x v="1"/>
    <n v="40"/>
  </r>
  <r>
    <x v="0"/>
    <x v="0"/>
    <n v="16"/>
    <x v="0"/>
    <x v="4"/>
    <x v="1"/>
    <x v="1"/>
    <x v="0"/>
    <n v="86"/>
    <x v="0"/>
    <x v="0"/>
    <x v="0"/>
    <x v="0"/>
    <n v="48"/>
    <x v="0"/>
    <x v="1"/>
    <n v="48"/>
    <x v="0"/>
    <x v="0"/>
    <n v="98"/>
  </r>
  <r>
    <x v="0"/>
    <x v="0"/>
    <n v="17"/>
    <x v="1"/>
    <x v="0"/>
    <x v="1"/>
    <x v="2"/>
    <x v="0"/>
    <n v="81"/>
    <x v="0"/>
    <x v="0"/>
    <x v="0"/>
    <x v="0"/>
    <n v="55"/>
    <x v="0"/>
    <x v="2"/>
    <n v="55"/>
    <x v="0"/>
    <x v="0"/>
    <n v="105"/>
  </r>
  <r>
    <x v="0"/>
    <x v="0"/>
    <n v="18"/>
    <x v="1"/>
    <x v="5"/>
    <x v="0"/>
    <x v="0"/>
    <x v="0"/>
    <n v="91"/>
    <x v="0"/>
    <x v="0"/>
    <x v="0"/>
    <x v="0"/>
    <n v="33"/>
    <x v="0"/>
    <x v="0"/>
    <n v="33"/>
    <x v="0"/>
    <x v="0"/>
    <n v="83"/>
  </r>
  <r>
    <x v="0"/>
    <x v="0"/>
    <n v="19"/>
    <x v="2"/>
    <x v="2"/>
    <x v="1"/>
    <x v="1"/>
    <x v="0"/>
    <n v="0"/>
    <x v="0"/>
    <x v="0"/>
    <x v="0"/>
    <x v="0"/>
    <n v="23"/>
    <x v="0"/>
    <x v="1"/>
    <n v="23"/>
    <x v="0"/>
    <x v="0"/>
    <n v="73"/>
  </r>
  <r>
    <x v="0"/>
    <x v="0"/>
    <n v="20"/>
    <x v="4"/>
    <x v="5"/>
    <x v="1"/>
    <x v="1"/>
    <x v="0"/>
    <n v="70"/>
    <x v="0"/>
    <x v="0"/>
    <x v="0"/>
    <x v="0"/>
    <n v="20"/>
    <x v="0"/>
    <x v="1"/>
    <n v="20"/>
    <x v="0"/>
    <x v="0"/>
    <n v="70"/>
  </r>
  <r>
    <x v="0"/>
    <x v="0"/>
    <n v="21"/>
    <x v="0"/>
    <x v="5"/>
    <x v="1"/>
    <x v="2"/>
    <x v="0"/>
    <n v="87"/>
    <x v="0"/>
    <x v="0"/>
    <x v="0"/>
    <x v="0"/>
    <n v="48"/>
    <x v="0"/>
    <x v="2"/>
    <n v="48"/>
    <x v="0"/>
    <x v="0"/>
    <n v="98"/>
  </r>
  <r>
    <x v="0"/>
    <x v="0"/>
    <n v="22"/>
    <x v="1"/>
    <x v="6"/>
    <x v="1"/>
    <x v="0"/>
    <x v="1"/>
    <n v="58"/>
    <x v="0"/>
    <x v="0"/>
    <x v="0"/>
    <x v="0"/>
    <n v="33"/>
    <x v="2"/>
    <x v="0"/>
    <n v="-66"/>
    <x v="1"/>
    <x v="0"/>
    <n v="-116"/>
  </r>
  <r>
    <x v="0"/>
    <x v="0"/>
    <n v="22"/>
    <x v="1"/>
    <x v="6"/>
    <x v="1"/>
    <x v="0"/>
    <x v="1"/>
    <n v="58"/>
    <x v="0"/>
    <x v="0"/>
    <x v="0"/>
    <x v="0"/>
    <n v="33"/>
    <x v="2"/>
    <x v="1"/>
    <n v="0"/>
    <x v="2"/>
    <x v="2"/>
    <n v="40"/>
  </r>
  <r>
    <x v="0"/>
    <x v="0"/>
    <n v="22"/>
    <x v="1"/>
    <x v="6"/>
    <x v="1"/>
    <x v="0"/>
    <x v="1"/>
    <n v="58"/>
    <x v="0"/>
    <x v="0"/>
    <x v="0"/>
    <x v="0"/>
    <n v="33"/>
    <x v="2"/>
    <x v="2"/>
    <n v="0"/>
    <x v="2"/>
    <x v="2"/>
    <n v="40"/>
  </r>
  <r>
    <x v="0"/>
    <x v="0"/>
    <n v="23"/>
    <x v="0"/>
    <x v="0"/>
    <x v="3"/>
    <x v="2"/>
    <x v="0"/>
    <n v="120"/>
    <x v="0"/>
    <x v="0"/>
    <x v="0"/>
    <x v="0"/>
    <n v="168"/>
    <x v="0"/>
    <x v="2"/>
    <n v="168"/>
    <x v="0"/>
    <x v="0"/>
    <n v="218"/>
  </r>
  <r>
    <x v="0"/>
    <x v="0"/>
    <n v="24"/>
    <x v="0"/>
    <x v="0"/>
    <x v="1"/>
    <x v="0"/>
    <x v="0"/>
    <n v="78"/>
    <x v="0"/>
    <x v="0"/>
    <x v="0"/>
    <x v="0"/>
    <n v="120"/>
    <x v="0"/>
    <x v="0"/>
    <n v="120"/>
    <x v="0"/>
    <x v="0"/>
    <n v="170"/>
  </r>
  <r>
    <x v="0"/>
    <x v="0"/>
    <n v="25"/>
    <x v="5"/>
    <x v="0"/>
    <x v="1"/>
    <x v="0"/>
    <x v="0"/>
    <n v="80"/>
    <x v="0"/>
    <x v="0"/>
    <x v="0"/>
    <x v="0"/>
    <n v="60"/>
    <x v="0"/>
    <x v="0"/>
    <n v="60"/>
    <x v="0"/>
    <x v="0"/>
    <n v="110"/>
  </r>
  <r>
    <x v="0"/>
    <x v="0"/>
    <n v="26"/>
    <x v="2"/>
    <x v="2"/>
    <x v="1"/>
    <x v="2"/>
    <x v="1"/>
    <n v="0"/>
    <x v="0"/>
    <x v="0"/>
    <x v="0"/>
    <x v="0"/>
    <n v="23"/>
    <x v="2"/>
    <x v="0"/>
    <n v="0"/>
    <x v="2"/>
    <x v="2"/>
    <n v="40"/>
  </r>
  <r>
    <x v="0"/>
    <x v="0"/>
    <n v="26"/>
    <x v="2"/>
    <x v="2"/>
    <x v="1"/>
    <x v="2"/>
    <x v="1"/>
    <n v="0"/>
    <x v="0"/>
    <x v="0"/>
    <x v="0"/>
    <x v="0"/>
    <n v="23"/>
    <x v="2"/>
    <x v="1"/>
    <n v="0"/>
    <x v="2"/>
    <x v="2"/>
    <n v="40"/>
  </r>
  <r>
    <x v="0"/>
    <x v="0"/>
    <n v="26"/>
    <x v="2"/>
    <x v="2"/>
    <x v="1"/>
    <x v="2"/>
    <x v="1"/>
    <n v="0"/>
    <x v="0"/>
    <x v="0"/>
    <x v="0"/>
    <x v="0"/>
    <n v="23"/>
    <x v="2"/>
    <x v="2"/>
    <n v="-46"/>
    <x v="1"/>
    <x v="0"/>
    <n v="-96"/>
  </r>
  <r>
    <x v="0"/>
    <x v="0"/>
    <n v="27"/>
    <x v="0"/>
    <x v="1"/>
    <x v="0"/>
    <x v="1"/>
    <x v="0"/>
    <n v="106"/>
    <x v="0"/>
    <x v="0"/>
    <x v="0"/>
    <x v="0"/>
    <n v="120"/>
    <x v="0"/>
    <x v="1"/>
    <n v="120"/>
    <x v="0"/>
    <x v="0"/>
    <n v="170"/>
  </r>
  <r>
    <x v="0"/>
    <x v="0"/>
    <n v="28"/>
    <x v="6"/>
    <x v="7"/>
    <x v="0"/>
    <x v="0"/>
    <x v="1"/>
    <n v="28"/>
    <x v="0"/>
    <x v="0"/>
    <x v="0"/>
    <x v="0"/>
    <n v="45"/>
    <x v="2"/>
    <x v="0"/>
    <n v="-90"/>
    <x v="1"/>
    <x v="0"/>
    <n v="-140"/>
  </r>
  <r>
    <x v="0"/>
    <x v="0"/>
    <n v="28"/>
    <x v="6"/>
    <x v="7"/>
    <x v="0"/>
    <x v="0"/>
    <x v="1"/>
    <n v="28"/>
    <x v="0"/>
    <x v="0"/>
    <x v="0"/>
    <x v="0"/>
    <n v="45"/>
    <x v="2"/>
    <x v="1"/>
    <n v="0"/>
    <x v="2"/>
    <x v="2"/>
    <n v="40"/>
  </r>
  <r>
    <x v="0"/>
    <x v="0"/>
    <n v="28"/>
    <x v="6"/>
    <x v="7"/>
    <x v="0"/>
    <x v="0"/>
    <x v="1"/>
    <n v="28"/>
    <x v="0"/>
    <x v="0"/>
    <x v="0"/>
    <x v="0"/>
    <n v="45"/>
    <x v="2"/>
    <x v="2"/>
    <n v="0"/>
    <x v="2"/>
    <x v="2"/>
    <n v="40"/>
  </r>
  <r>
    <x v="0"/>
    <x v="0"/>
    <n v="29"/>
    <x v="1"/>
    <x v="8"/>
    <x v="0"/>
    <x v="1"/>
    <x v="0"/>
    <n v="91"/>
    <x v="1"/>
    <x v="0"/>
    <x v="0"/>
    <x v="0"/>
    <n v="44"/>
    <x v="3"/>
    <x v="1"/>
    <n v="88"/>
    <x v="0"/>
    <x v="0"/>
    <n v="138"/>
  </r>
  <r>
    <x v="0"/>
    <x v="0"/>
    <n v="30"/>
    <x v="5"/>
    <x v="8"/>
    <x v="1"/>
    <x v="0"/>
    <x v="1"/>
    <n v="52"/>
    <x v="1"/>
    <x v="0"/>
    <x v="0"/>
    <x v="0"/>
    <n v="36"/>
    <x v="4"/>
    <x v="0"/>
    <n v="-144"/>
    <x v="1"/>
    <x v="0"/>
    <n v="-194"/>
  </r>
  <r>
    <x v="0"/>
    <x v="0"/>
    <n v="30"/>
    <x v="5"/>
    <x v="8"/>
    <x v="1"/>
    <x v="0"/>
    <x v="1"/>
    <n v="52"/>
    <x v="1"/>
    <x v="0"/>
    <x v="0"/>
    <x v="0"/>
    <n v="36"/>
    <x v="4"/>
    <x v="1"/>
    <n v="0"/>
    <x v="2"/>
    <x v="2"/>
    <n v="40"/>
  </r>
  <r>
    <x v="0"/>
    <x v="0"/>
    <n v="30"/>
    <x v="5"/>
    <x v="8"/>
    <x v="1"/>
    <x v="0"/>
    <x v="1"/>
    <n v="52"/>
    <x v="1"/>
    <x v="0"/>
    <x v="0"/>
    <x v="0"/>
    <n v="36"/>
    <x v="4"/>
    <x v="2"/>
    <n v="0"/>
    <x v="2"/>
    <x v="2"/>
    <n v="40"/>
  </r>
  <r>
    <x v="0"/>
    <x v="0"/>
    <n v="31"/>
    <x v="6"/>
    <x v="5"/>
    <x v="1"/>
    <x v="1"/>
    <x v="1"/>
    <n v="39"/>
    <x v="1"/>
    <x v="0"/>
    <x v="0"/>
    <x v="0"/>
    <n v="18"/>
    <x v="4"/>
    <x v="0"/>
    <n v="0"/>
    <x v="2"/>
    <x v="2"/>
    <n v="40"/>
  </r>
  <r>
    <x v="0"/>
    <x v="0"/>
    <n v="31"/>
    <x v="6"/>
    <x v="5"/>
    <x v="1"/>
    <x v="1"/>
    <x v="1"/>
    <n v="39"/>
    <x v="1"/>
    <x v="0"/>
    <x v="0"/>
    <x v="0"/>
    <n v="18"/>
    <x v="4"/>
    <x v="1"/>
    <n v="-72"/>
    <x v="1"/>
    <x v="0"/>
    <n v="-122"/>
  </r>
  <r>
    <x v="0"/>
    <x v="0"/>
    <n v="31"/>
    <x v="6"/>
    <x v="5"/>
    <x v="1"/>
    <x v="1"/>
    <x v="1"/>
    <n v="39"/>
    <x v="1"/>
    <x v="0"/>
    <x v="0"/>
    <x v="0"/>
    <n v="18"/>
    <x v="4"/>
    <x v="2"/>
    <n v="0"/>
    <x v="2"/>
    <x v="2"/>
    <n v="40"/>
  </r>
  <r>
    <x v="0"/>
    <x v="0"/>
    <n v="32"/>
    <x v="3"/>
    <x v="2"/>
    <x v="1"/>
    <x v="1"/>
    <x v="1"/>
    <n v="736"/>
    <x v="0"/>
    <x v="0"/>
    <x v="0"/>
    <x v="0"/>
    <n v="736"/>
    <x v="1"/>
    <x v="0"/>
    <n v="0"/>
    <x v="2"/>
    <x v="1"/>
    <n v="40"/>
  </r>
  <r>
    <x v="0"/>
    <x v="0"/>
    <n v="32"/>
    <x v="3"/>
    <x v="2"/>
    <x v="1"/>
    <x v="1"/>
    <x v="1"/>
    <n v="736"/>
    <x v="0"/>
    <x v="0"/>
    <x v="0"/>
    <x v="0"/>
    <n v="736"/>
    <x v="1"/>
    <x v="1"/>
    <n v="-736"/>
    <x v="1"/>
    <x v="1"/>
    <n v="-786"/>
  </r>
  <r>
    <x v="0"/>
    <x v="0"/>
    <n v="32"/>
    <x v="3"/>
    <x v="2"/>
    <x v="1"/>
    <x v="1"/>
    <x v="1"/>
    <n v="736"/>
    <x v="0"/>
    <x v="0"/>
    <x v="0"/>
    <x v="0"/>
    <n v="736"/>
    <x v="1"/>
    <x v="2"/>
    <n v="0"/>
    <x v="2"/>
    <x v="1"/>
    <n v="40"/>
  </r>
  <r>
    <x v="0"/>
    <x v="0"/>
    <n v="33"/>
    <x v="0"/>
    <x v="8"/>
    <x v="4"/>
    <x v="2"/>
    <x v="0"/>
    <n v="79"/>
    <x v="0"/>
    <x v="0"/>
    <x v="0"/>
    <x v="0"/>
    <n v="96"/>
    <x v="0"/>
    <x v="2"/>
    <n v="96"/>
    <x v="0"/>
    <x v="0"/>
    <n v="146"/>
  </r>
  <r>
    <x v="0"/>
    <x v="0"/>
    <n v="34"/>
    <x v="0"/>
    <x v="3"/>
    <x v="4"/>
    <x v="2"/>
    <x v="1"/>
    <n v="51"/>
    <x v="0"/>
    <x v="0"/>
    <x v="0"/>
    <x v="0"/>
    <n v="144"/>
    <x v="2"/>
    <x v="0"/>
    <n v="0"/>
    <x v="2"/>
    <x v="2"/>
    <n v="40"/>
  </r>
  <r>
    <x v="0"/>
    <x v="0"/>
    <n v="34"/>
    <x v="0"/>
    <x v="3"/>
    <x v="4"/>
    <x v="2"/>
    <x v="1"/>
    <n v="51"/>
    <x v="0"/>
    <x v="0"/>
    <x v="0"/>
    <x v="0"/>
    <n v="144"/>
    <x v="2"/>
    <x v="1"/>
    <n v="0"/>
    <x v="2"/>
    <x v="2"/>
    <n v="40"/>
  </r>
  <r>
    <x v="0"/>
    <x v="0"/>
    <n v="34"/>
    <x v="0"/>
    <x v="3"/>
    <x v="4"/>
    <x v="2"/>
    <x v="1"/>
    <n v="51"/>
    <x v="0"/>
    <x v="0"/>
    <x v="0"/>
    <x v="0"/>
    <n v="144"/>
    <x v="2"/>
    <x v="2"/>
    <n v="-288"/>
    <x v="1"/>
    <x v="0"/>
    <n v="-338"/>
  </r>
  <r>
    <x v="0"/>
    <x v="0"/>
    <n v="35"/>
    <x v="0"/>
    <x v="4"/>
    <x v="4"/>
    <x v="0"/>
    <x v="1"/>
    <n v="51"/>
    <x v="0"/>
    <x v="0"/>
    <x v="0"/>
    <x v="0"/>
    <n v="72"/>
    <x v="2"/>
    <x v="0"/>
    <n v="-144"/>
    <x v="1"/>
    <x v="0"/>
    <n v="-194"/>
  </r>
  <r>
    <x v="0"/>
    <x v="0"/>
    <n v="35"/>
    <x v="0"/>
    <x v="4"/>
    <x v="4"/>
    <x v="0"/>
    <x v="1"/>
    <n v="51"/>
    <x v="0"/>
    <x v="0"/>
    <x v="0"/>
    <x v="0"/>
    <n v="72"/>
    <x v="2"/>
    <x v="1"/>
    <n v="0"/>
    <x v="2"/>
    <x v="2"/>
    <n v="40"/>
  </r>
  <r>
    <x v="0"/>
    <x v="0"/>
    <n v="35"/>
    <x v="0"/>
    <x v="4"/>
    <x v="4"/>
    <x v="0"/>
    <x v="1"/>
    <n v="51"/>
    <x v="0"/>
    <x v="0"/>
    <x v="0"/>
    <x v="0"/>
    <n v="72"/>
    <x v="2"/>
    <x v="2"/>
    <n v="0"/>
    <x v="2"/>
    <x v="2"/>
    <n v="40"/>
  </r>
  <r>
    <x v="0"/>
    <x v="0"/>
    <n v="36"/>
    <x v="0"/>
    <x v="5"/>
    <x v="4"/>
    <x v="1"/>
    <x v="1"/>
    <n v="36"/>
    <x v="0"/>
    <x v="0"/>
    <x v="0"/>
    <x v="0"/>
    <n v="72"/>
    <x v="2"/>
    <x v="0"/>
    <n v="0"/>
    <x v="2"/>
    <x v="2"/>
    <n v="40"/>
  </r>
  <r>
    <x v="0"/>
    <x v="0"/>
    <n v="36"/>
    <x v="0"/>
    <x v="5"/>
    <x v="4"/>
    <x v="1"/>
    <x v="1"/>
    <n v="36"/>
    <x v="0"/>
    <x v="0"/>
    <x v="0"/>
    <x v="0"/>
    <n v="72"/>
    <x v="2"/>
    <x v="1"/>
    <n v="-144"/>
    <x v="1"/>
    <x v="0"/>
    <n v="-194"/>
  </r>
  <r>
    <x v="0"/>
    <x v="0"/>
    <n v="36"/>
    <x v="0"/>
    <x v="5"/>
    <x v="4"/>
    <x v="1"/>
    <x v="1"/>
    <n v="36"/>
    <x v="0"/>
    <x v="0"/>
    <x v="0"/>
    <x v="0"/>
    <n v="72"/>
    <x v="2"/>
    <x v="2"/>
    <n v="0"/>
    <x v="2"/>
    <x v="2"/>
    <n v="40"/>
  </r>
  <r>
    <x v="0"/>
    <x v="0"/>
    <n v="37"/>
    <x v="0"/>
    <x v="6"/>
    <x v="4"/>
    <x v="2"/>
    <x v="0"/>
    <n v="74"/>
    <x v="0"/>
    <x v="0"/>
    <x v="0"/>
    <x v="0"/>
    <n v="96"/>
    <x v="0"/>
    <x v="2"/>
    <n v="96"/>
    <x v="0"/>
    <x v="0"/>
    <n v="146"/>
  </r>
  <r>
    <x v="0"/>
    <x v="0"/>
    <n v="38"/>
    <x v="0"/>
    <x v="1"/>
    <x v="4"/>
    <x v="1"/>
    <x v="0"/>
    <n v="78"/>
    <x v="0"/>
    <x v="0"/>
    <x v="0"/>
    <x v="0"/>
    <n v="120"/>
    <x v="0"/>
    <x v="1"/>
    <n v="120"/>
    <x v="0"/>
    <x v="0"/>
    <n v="170"/>
  </r>
  <r>
    <x v="0"/>
    <x v="0"/>
    <n v="39"/>
    <x v="3"/>
    <x v="2"/>
    <x v="1"/>
    <x v="1"/>
    <x v="1"/>
    <n v="168"/>
    <x v="0"/>
    <x v="0"/>
    <x v="0"/>
    <x v="0"/>
    <n v="168"/>
    <x v="1"/>
    <x v="0"/>
    <n v="0"/>
    <x v="2"/>
    <x v="1"/>
    <n v="40"/>
  </r>
  <r>
    <x v="0"/>
    <x v="0"/>
    <n v="39"/>
    <x v="3"/>
    <x v="2"/>
    <x v="1"/>
    <x v="1"/>
    <x v="1"/>
    <n v="168"/>
    <x v="0"/>
    <x v="0"/>
    <x v="0"/>
    <x v="0"/>
    <n v="168"/>
    <x v="1"/>
    <x v="1"/>
    <n v="-168"/>
    <x v="1"/>
    <x v="1"/>
    <n v="-218"/>
  </r>
  <r>
    <x v="0"/>
    <x v="0"/>
    <n v="39"/>
    <x v="3"/>
    <x v="2"/>
    <x v="1"/>
    <x v="1"/>
    <x v="1"/>
    <n v="168"/>
    <x v="0"/>
    <x v="0"/>
    <x v="0"/>
    <x v="0"/>
    <n v="168"/>
    <x v="1"/>
    <x v="2"/>
    <n v="0"/>
    <x v="2"/>
    <x v="1"/>
    <n v="40"/>
  </r>
  <r>
    <x v="0"/>
    <x v="0"/>
    <n v="40"/>
    <x v="0"/>
    <x v="1"/>
    <x v="4"/>
    <x v="0"/>
    <x v="0"/>
    <n v="71"/>
    <x v="0"/>
    <x v="0"/>
    <x v="0"/>
    <x v="0"/>
    <n v="120"/>
    <x v="0"/>
    <x v="0"/>
    <n v="120"/>
    <x v="0"/>
    <x v="0"/>
    <n v="170"/>
  </r>
  <r>
    <x v="0"/>
    <x v="0"/>
    <n v="41"/>
    <x v="3"/>
    <x v="2"/>
    <x v="1"/>
    <x v="2"/>
    <x v="1"/>
    <n v="128"/>
    <x v="0"/>
    <x v="0"/>
    <x v="0"/>
    <x v="0"/>
    <n v="128"/>
    <x v="1"/>
    <x v="0"/>
    <n v="0"/>
    <x v="2"/>
    <x v="1"/>
    <n v="40"/>
  </r>
  <r>
    <x v="0"/>
    <x v="0"/>
    <n v="41"/>
    <x v="3"/>
    <x v="2"/>
    <x v="1"/>
    <x v="2"/>
    <x v="1"/>
    <n v="128"/>
    <x v="0"/>
    <x v="0"/>
    <x v="0"/>
    <x v="0"/>
    <n v="128"/>
    <x v="1"/>
    <x v="1"/>
    <n v="0"/>
    <x v="2"/>
    <x v="1"/>
    <n v="40"/>
  </r>
  <r>
    <x v="0"/>
    <x v="0"/>
    <n v="41"/>
    <x v="3"/>
    <x v="2"/>
    <x v="1"/>
    <x v="2"/>
    <x v="1"/>
    <n v="128"/>
    <x v="0"/>
    <x v="0"/>
    <x v="0"/>
    <x v="0"/>
    <n v="128"/>
    <x v="1"/>
    <x v="2"/>
    <n v="-128"/>
    <x v="1"/>
    <x v="1"/>
    <n v="-178"/>
  </r>
  <r>
    <x v="0"/>
    <x v="0"/>
    <n v="42"/>
    <x v="6"/>
    <x v="5"/>
    <x v="1"/>
    <x v="1"/>
    <x v="0"/>
    <n v="74"/>
    <x v="1"/>
    <x v="1"/>
    <x v="0"/>
    <x v="0"/>
    <n v="18"/>
    <x v="5"/>
    <x v="1"/>
    <n v="72"/>
    <x v="0"/>
    <x v="0"/>
    <n v="122"/>
  </r>
  <r>
    <x v="0"/>
    <x v="0"/>
    <n v="43"/>
    <x v="4"/>
    <x v="1"/>
    <x v="1"/>
    <x v="1"/>
    <x v="0"/>
    <n v="84"/>
    <x v="1"/>
    <x v="0"/>
    <x v="0"/>
    <x v="0"/>
    <n v="40"/>
    <x v="3"/>
    <x v="1"/>
    <n v="80"/>
    <x v="0"/>
    <x v="0"/>
    <n v="130"/>
  </r>
  <r>
    <x v="1"/>
    <x v="1"/>
    <n v="1"/>
    <x v="6"/>
    <x v="8"/>
    <x v="5"/>
    <x v="2"/>
    <x v="0"/>
    <n v="91"/>
    <x v="0"/>
    <x v="0"/>
    <x v="0"/>
    <x v="0"/>
    <n v="45"/>
    <x v="0"/>
    <x v="2"/>
    <n v="45"/>
    <x v="0"/>
    <x v="0"/>
    <n v="95"/>
  </r>
  <r>
    <x v="1"/>
    <x v="0"/>
    <n v="1"/>
    <x v="4"/>
    <x v="5"/>
    <x v="1"/>
    <x v="2"/>
    <x v="1"/>
    <n v="58"/>
    <x v="0"/>
    <x v="0"/>
    <x v="0"/>
    <x v="0"/>
    <n v="20"/>
    <x v="2"/>
    <x v="2"/>
    <n v="-40"/>
    <x v="1"/>
    <x v="0"/>
    <n v="-90"/>
  </r>
  <r>
    <x v="1"/>
    <x v="0"/>
    <n v="1"/>
    <x v="4"/>
    <x v="5"/>
    <x v="1"/>
    <x v="2"/>
    <x v="1"/>
    <n v="58"/>
    <x v="0"/>
    <x v="0"/>
    <x v="0"/>
    <x v="0"/>
    <n v="20"/>
    <x v="2"/>
    <x v="1"/>
    <n v="0"/>
    <x v="2"/>
    <x v="2"/>
    <n v="40"/>
  </r>
  <r>
    <x v="1"/>
    <x v="0"/>
    <n v="1"/>
    <x v="4"/>
    <x v="5"/>
    <x v="1"/>
    <x v="2"/>
    <x v="1"/>
    <n v="58"/>
    <x v="0"/>
    <x v="0"/>
    <x v="0"/>
    <x v="0"/>
    <n v="20"/>
    <x v="2"/>
    <x v="0"/>
    <n v="0"/>
    <x v="2"/>
    <x v="2"/>
    <n v="40"/>
  </r>
  <r>
    <x v="1"/>
    <x v="0"/>
    <n v="2"/>
    <x v="5"/>
    <x v="1"/>
    <x v="0"/>
    <x v="1"/>
    <x v="0"/>
    <n v="96"/>
    <x v="0"/>
    <x v="0"/>
    <x v="0"/>
    <x v="0"/>
    <n v="60"/>
    <x v="0"/>
    <x v="1"/>
    <n v="60"/>
    <x v="0"/>
    <x v="0"/>
    <n v="110"/>
  </r>
  <r>
    <x v="1"/>
    <x v="1"/>
    <n v="2"/>
    <x v="1"/>
    <x v="4"/>
    <x v="1"/>
    <x v="0"/>
    <x v="1"/>
    <n v="48"/>
    <x v="0"/>
    <x v="0"/>
    <x v="0"/>
    <x v="0"/>
    <n v="22"/>
    <x v="2"/>
    <x v="2"/>
    <n v="0"/>
    <x v="2"/>
    <x v="2"/>
    <n v="40"/>
  </r>
  <r>
    <x v="1"/>
    <x v="1"/>
    <n v="2"/>
    <x v="1"/>
    <x v="4"/>
    <x v="1"/>
    <x v="0"/>
    <x v="1"/>
    <n v="48"/>
    <x v="0"/>
    <x v="0"/>
    <x v="0"/>
    <x v="0"/>
    <n v="22"/>
    <x v="2"/>
    <x v="0"/>
    <n v="-44"/>
    <x v="1"/>
    <x v="0"/>
    <n v="-94"/>
  </r>
  <r>
    <x v="1"/>
    <x v="1"/>
    <n v="2"/>
    <x v="1"/>
    <x v="4"/>
    <x v="1"/>
    <x v="0"/>
    <x v="1"/>
    <n v="48"/>
    <x v="0"/>
    <x v="0"/>
    <x v="0"/>
    <x v="0"/>
    <n v="22"/>
    <x v="2"/>
    <x v="1"/>
    <n v="0"/>
    <x v="2"/>
    <x v="2"/>
    <n v="40"/>
  </r>
  <r>
    <x v="1"/>
    <x v="1"/>
    <n v="3"/>
    <x v="4"/>
    <x v="5"/>
    <x v="1"/>
    <x v="2"/>
    <x v="0"/>
    <n v="89"/>
    <x v="0"/>
    <x v="0"/>
    <x v="0"/>
    <x v="0"/>
    <n v="20"/>
    <x v="0"/>
    <x v="2"/>
    <n v="20"/>
    <x v="0"/>
    <x v="0"/>
    <n v="70"/>
  </r>
  <r>
    <x v="1"/>
    <x v="0"/>
    <n v="3"/>
    <x v="3"/>
    <x v="2"/>
    <x v="1"/>
    <x v="1"/>
    <x v="1"/>
    <n v="57"/>
    <x v="0"/>
    <x v="0"/>
    <x v="0"/>
    <x v="0"/>
    <n v="57"/>
    <x v="1"/>
    <x v="2"/>
    <n v="0"/>
    <x v="2"/>
    <x v="1"/>
    <n v="40"/>
  </r>
  <r>
    <x v="1"/>
    <x v="0"/>
    <n v="3"/>
    <x v="3"/>
    <x v="2"/>
    <x v="1"/>
    <x v="1"/>
    <x v="1"/>
    <n v="57"/>
    <x v="0"/>
    <x v="0"/>
    <x v="0"/>
    <x v="0"/>
    <n v="57"/>
    <x v="1"/>
    <x v="1"/>
    <n v="-57"/>
    <x v="1"/>
    <x v="1"/>
    <n v="-107"/>
  </r>
  <r>
    <x v="1"/>
    <x v="0"/>
    <n v="3"/>
    <x v="3"/>
    <x v="2"/>
    <x v="1"/>
    <x v="1"/>
    <x v="1"/>
    <n v="57"/>
    <x v="0"/>
    <x v="0"/>
    <x v="0"/>
    <x v="0"/>
    <n v="57"/>
    <x v="1"/>
    <x v="0"/>
    <n v="0"/>
    <x v="2"/>
    <x v="1"/>
    <n v="40"/>
  </r>
  <r>
    <x v="1"/>
    <x v="1"/>
    <n v="4"/>
    <x v="3"/>
    <x v="2"/>
    <x v="1"/>
    <x v="2"/>
    <x v="1"/>
    <n v="61"/>
    <x v="0"/>
    <x v="0"/>
    <x v="0"/>
    <x v="0"/>
    <n v="61"/>
    <x v="1"/>
    <x v="2"/>
    <n v="-61"/>
    <x v="1"/>
    <x v="1"/>
    <n v="-111"/>
  </r>
  <r>
    <x v="1"/>
    <x v="1"/>
    <n v="4"/>
    <x v="3"/>
    <x v="2"/>
    <x v="1"/>
    <x v="2"/>
    <x v="1"/>
    <n v="61"/>
    <x v="0"/>
    <x v="0"/>
    <x v="0"/>
    <x v="0"/>
    <n v="61"/>
    <x v="1"/>
    <x v="0"/>
    <n v="0"/>
    <x v="2"/>
    <x v="1"/>
    <n v="40"/>
  </r>
  <r>
    <x v="1"/>
    <x v="1"/>
    <n v="4"/>
    <x v="3"/>
    <x v="2"/>
    <x v="1"/>
    <x v="2"/>
    <x v="1"/>
    <n v="61"/>
    <x v="0"/>
    <x v="0"/>
    <x v="0"/>
    <x v="0"/>
    <n v="61"/>
    <x v="1"/>
    <x v="1"/>
    <n v="0"/>
    <x v="2"/>
    <x v="1"/>
    <n v="40"/>
  </r>
  <r>
    <x v="1"/>
    <x v="0"/>
    <n v="4"/>
    <x v="3"/>
    <x v="2"/>
    <x v="1"/>
    <x v="2"/>
    <x v="1"/>
    <n v="76"/>
    <x v="0"/>
    <x v="0"/>
    <x v="0"/>
    <x v="0"/>
    <n v="76"/>
    <x v="1"/>
    <x v="2"/>
    <n v="-76"/>
    <x v="1"/>
    <x v="1"/>
    <n v="-126"/>
  </r>
  <r>
    <x v="1"/>
    <x v="0"/>
    <n v="4"/>
    <x v="3"/>
    <x v="2"/>
    <x v="1"/>
    <x v="2"/>
    <x v="1"/>
    <n v="76"/>
    <x v="0"/>
    <x v="0"/>
    <x v="0"/>
    <x v="0"/>
    <n v="76"/>
    <x v="1"/>
    <x v="1"/>
    <n v="0"/>
    <x v="2"/>
    <x v="1"/>
    <n v="40"/>
  </r>
  <r>
    <x v="1"/>
    <x v="0"/>
    <n v="4"/>
    <x v="3"/>
    <x v="2"/>
    <x v="1"/>
    <x v="2"/>
    <x v="1"/>
    <n v="76"/>
    <x v="0"/>
    <x v="0"/>
    <x v="0"/>
    <x v="0"/>
    <n v="76"/>
    <x v="1"/>
    <x v="0"/>
    <n v="0"/>
    <x v="2"/>
    <x v="1"/>
    <n v="40"/>
  </r>
  <r>
    <x v="1"/>
    <x v="0"/>
    <n v="5"/>
    <x v="6"/>
    <x v="4"/>
    <x v="0"/>
    <x v="0"/>
    <x v="0"/>
    <n v="90"/>
    <x v="0"/>
    <x v="0"/>
    <x v="0"/>
    <x v="0"/>
    <n v="27"/>
    <x v="0"/>
    <x v="0"/>
    <n v="27"/>
    <x v="0"/>
    <x v="0"/>
    <n v="77"/>
  </r>
  <r>
    <x v="1"/>
    <x v="1"/>
    <n v="5"/>
    <x v="4"/>
    <x v="1"/>
    <x v="1"/>
    <x v="0"/>
    <x v="0"/>
    <n v="72"/>
    <x v="0"/>
    <x v="0"/>
    <x v="0"/>
    <x v="0"/>
    <n v="40"/>
    <x v="0"/>
    <x v="0"/>
    <n v="40"/>
    <x v="0"/>
    <x v="0"/>
    <n v="90"/>
  </r>
  <r>
    <x v="1"/>
    <x v="0"/>
    <n v="6"/>
    <x v="6"/>
    <x v="6"/>
    <x v="1"/>
    <x v="2"/>
    <x v="0"/>
    <n v="72"/>
    <x v="0"/>
    <x v="0"/>
    <x v="0"/>
    <x v="0"/>
    <n v="27"/>
    <x v="0"/>
    <x v="2"/>
    <n v="27"/>
    <x v="0"/>
    <x v="0"/>
    <n v="77"/>
  </r>
  <r>
    <x v="1"/>
    <x v="1"/>
    <n v="6"/>
    <x v="0"/>
    <x v="6"/>
    <x v="1"/>
    <x v="1"/>
    <x v="0"/>
    <n v="89"/>
    <x v="0"/>
    <x v="0"/>
    <x v="0"/>
    <x v="0"/>
    <n v="72"/>
    <x v="0"/>
    <x v="1"/>
    <n v="72"/>
    <x v="0"/>
    <x v="0"/>
    <n v="122"/>
  </r>
  <r>
    <x v="1"/>
    <x v="0"/>
    <n v="7"/>
    <x v="0"/>
    <x v="8"/>
    <x v="1"/>
    <x v="1"/>
    <x v="0"/>
    <n v="82"/>
    <x v="0"/>
    <x v="0"/>
    <x v="0"/>
    <x v="0"/>
    <n v="72"/>
    <x v="0"/>
    <x v="1"/>
    <n v="72"/>
    <x v="0"/>
    <x v="0"/>
    <n v="122"/>
  </r>
  <r>
    <x v="1"/>
    <x v="1"/>
    <n v="7"/>
    <x v="2"/>
    <x v="2"/>
    <x v="1"/>
    <x v="2"/>
    <x v="1"/>
    <n v="0"/>
    <x v="0"/>
    <x v="0"/>
    <x v="0"/>
    <x v="0"/>
    <n v="23"/>
    <x v="2"/>
    <x v="2"/>
    <n v="-46"/>
    <x v="1"/>
    <x v="0"/>
    <n v="-96"/>
  </r>
  <r>
    <x v="1"/>
    <x v="1"/>
    <n v="7"/>
    <x v="2"/>
    <x v="2"/>
    <x v="1"/>
    <x v="2"/>
    <x v="1"/>
    <n v="0"/>
    <x v="0"/>
    <x v="0"/>
    <x v="0"/>
    <x v="0"/>
    <n v="23"/>
    <x v="2"/>
    <x v="0"/>
    <n v="0"/>
    <x v="2"/>
    <x v="2"/>
    <n v="40"/>
  </r>
  <r>
    <x v="1"/>
    <x v="1"/>
    <n v="7"/>
    <x v="2"/>
    <x v="2"/>
    <x v="1"/>
    <x v="2"/>
    <x v="1"/>
    <n v="0"/>
    <x v="0"/>
    <x v="0"/>
    <x v="0"/>
    <x v="0"/>
    <n v="23"/>
    <x v="2"/>
    <x v="1"/>
    <n v="0"/>
    <x v="2"/>
    <x v="2"/>
    <n v="40"/>
  </r>
  <r>
    <x v="1"/>
    <x v="1"/>
    <n v="8"/>
    <x v="4"/>
    <x v="1"/>
    <x v="0"/>
    <x v="2"/>
    <x v="0"/>
    <n v="97"/>
    <x v="0"/>
    <x v="0"/>
    <x v="0"/>
    <x v="0"/>
    <n v="50"/>
    <x v="0"/>
    <x v="2"/>
    <n v="50"/>
    <x v="0"/>
    <x v="0"/>
    <n v="100"/>
  </r>
  <r>
    <x v="1"/>
    <x v="0"/>
    <n v="8"/>
    <x v="6"/>
    <x v="3"/>
    <x v="1"/>
    <x v="0"/>
    <x v="0"/>
    <n v="63"/>
    <x v="0"/>
    <x v="0"/>
    <x v="0"/>
    <x v="0"/>
    <n v="45"/>
    <x v="0"/>
    <x v="0"/>
    <n v="45"/>
    <x v="0"/>
    <x v="0"/>
    <n v="95"/>
  </r>
  <r>
    <x v="1"/>
    <x v="1"/>
    <n v="9"/>
    <x v="6"/>
    <x v="4"/>
    <x v="1"/>
    <x v="1"/>
    <x v="0"/>
    <n v="70"/>
    <x v="0"/>
    <x v="0"/>
    <x v="0"/>
    <x v="0"/>
    <n v="18"/>
    <x v="0"/>
    <x v="1"/>
    <n v="18"/>
    <x v="0"/>
    <x v="0"/>
    <n v="68"/>
  </r>
  <r>
    <x v="1"/>
    <x v="0"/>
    <n v="9"/>
    <x v="6"/>
    <x v="5"/>
    <x v="0"/>
    <x v="2"/>
    <x v="0"/>
    <n v="100"/>
    <x v="0"/>
    <x v="0"/>
    <x v="0"/>
    <x v="0"/>
    <n v="27"/>
    <x v="0"/>
    <x v="2"/>
    <n v="27"/>
    <x v="0"/>
    <x v="0"/>
    <n v="77"/>
  </r>
  <r>
    <x v="1"/>
    <x v="0"/>
    <n v="10"/>
    <x v="1"/>
    <x v="5"/>
    <x v="1"/>
    <x v="1"/>
    <x v="0"/>
    <n v="79"/>
    <x v="0"/>
    <x v="0"/>
    <x v="0"/>
    <x v="0"/>
    <n v="22"/>
    <x v="0"/>
    <x v="1"/>
    <n v="22"/>
    <x v="0"/>
    <x v="0"/>
    <n v="72"/>
  </r>
  <r>
    <x v="1"/>
    <x v="0"/>
    <n v="11"/>
    <x v="6"/>
    <x v="6"/>
    <x v="1"/>
    <x v="1"/>
    <x v="0"/>
    <n v="81"/>
    <x v="0"/>
    <x v="0"/>
    <x v="0"/>
    <x v="0"/>
    <n v="27"/>
    <x v="0"/>
    <x v="1"/>
    <n v="27"/>
    <x v="0"/>
    <x v="0"/>
    <n v="77"/>
  </r>
  <r>
    <x v="1"/>
    <x v="0"/>
    <n v="12"/>
    <x v="4"/>
    <x v="8"/>
    <x v="1"/>
    <x v="0"/>
    <x v="1"/>
    <n v="47"/>
    <x v="0"/>
    <x v="0"/>
    <x v="0"/>
    <x v="0"/>
    <n v="30"/>
    <x v="2"/>
    <x v="2"/>
    <n v="0"/>
    <x v="2"/>
    <x v="2"/>
    <n v="40"/>
  </r>
  <r>
    <x v="1"/>
    <x v="0"/>
    <n v="12"/>
    <x v="4"/>
    <x v="8"/>
    <x v="1"/>
    <x v="0"/>
    <x v="1"/>
    <n v="47"/>
    <x v="0"/>
    <x v="0"/>
    <x v="0"/>
    <x v="0"/>
    <n v="30"/>
    <x v="2"/>
    <x v="1"/>
    <n v="0"/>
    <x v="2"/>
    <x v="2"/>
    <n v="40"/>
  </r>
  <r>
    <x v="1"/>
    <x v="0"/>
    <n v="12"/>
    <x v="4"/>
    <x v="8"/>
    <x v="1"/>
    <x v="0"/>
    <x v="1"/>
    <n v="47"/>
    <x v="0"/>
    <x v="0"/>
    <x v="0"/>
    <x v="0"/>
    <n v="30"/>
    <x v="2"/>
    <x v="0"/>
    <n v="-60"/>
    <x v="1"/>
    <x v="0"/>
    <n v="-110"/>
  </r>
  <r>
    <x v="1"/>
    <x v="0"/>
    <n v="13"/>
    <x v="3"/>
    <x v="2"/>
    <x v="1"/>
    <x v="2"/>
    <x v="1"/>
    <n v="94"/>
    <x v="0"/>
    <x v="0"/>
    <x v="0"/>
    <x v="0"/>
    <n v="94"/>
    <x v="1"/>
    <x v="2"/>
    <n v="-94"/>
    <x v="1"/>
    <x v="1"/>
    <n v="-144"/>
  </r>
  <r>
    <x v="1"/>
    <x v="0"/>
    <n v="13"/>
    <x v="3"/>
    <x v="2"/>
    <x v="1"/>
    <x v="2"/>
    <x v="1"/>
    <n v="94"/>
    <x v="0"/>
    <x v="0"/>
    <x v="0"/>
    <x v="0"/>
    <n v="94"/>
    <x v="1"/>
    <x v="1"/>
    <n v="0"/>
    <x v="2"/>
    <x v="1"/>
    <n v="40"/>
  </r>
  <r>
    <x v="1"/>
    <x v="0"/>
    <n v="13"/>
    <x v="3"/>
    <x v="2"/>
    <x v="1"/>
    <x v="2"/>
    <x v="1"/>
    <n v="94"/>
    <x v="0"/>
    <x v="0"/>
    <x v="0"/>
    <x v="0"/>
    <n v="94"/>
    <x v="1"/>
    <x v="0"/>
    <n v="0"/>
    <x v="2"/>
    <x v="1"/>
    <n v="40"/>
  </r>
  <r>
    <x v="1"/>
    <x v="0"/>
    <n v="14"/>
    <x v="5"/>
    <x v="4"/>
    <x v="1"/>
    <x v="2"/>
    <x v="1"/>
    <n v="44"/>
    <x v="0"/>
    <x v="0"/>
    <x v="0"/>
    <x v="0"/>
    <n v="24"/>
    <x v="2"/>
    <x v="2"/>
    <n v="-48"/>
    <x v="1"/>
    <x v="0"/>
    <n v="-98"/>
  </r>
  <r>
    <x v="1"/>
    <x v="0"/>
    <n v="14"/>
    <x v="5"/>
    <x v="4"/>
    <x v="1"/>
    <x v="2"/>
    <x v="1"/>
    <n v="44"/>
    <x v="0"/>
    <x v="0"/>
    <x v="0"/>
    <x v="0"/>
    <n v="24"/>
    <x v="2"/>
    <x v="1"/>
    <n v="0"/>
    <x v="2"/>
    <x v="2"/>
    <n v="40"/>
  </r>
  <r>
    <x v="1"/>
    <x v="0"/>
    <n v="14"/>
    <x v="5"/>
    <x v="4"/>
    <x v="1"/>
    <x v="2"/>
    <x v="1"/>
    <n v="44"/>
    <x v="0"/>
    <x v="0"/>
    <x v="0"/>
    <x v="0"/>
    <n v="24"/>
    <x v="2"/>
    <x v="0"/>
    <n v="0"/>
    <x v="2"/>
    <x v="2"/>
    <n v="40"/>
  </r>
  <r>
    <x v="1"/>
    <x v="0"/>
    <n v="15"/>
    <x v="5"/>
    <x v="5"/>
    <x v="1"/>
    <x v="2"/>
    <x v="0"/>
    <n v="84"/>
    <x v="0"/>
    <x v="0"/>
    <x v="0"/>
    <x v="0"/>
    <n v="24"/>
    <x v="0"/>
    <x v="2"/>
    <n v="24"/>
    <x v="0"/>
    <x v="0"/>
    <n v="74"/>
  </r>
  <r>
    <x v="1"/>
    <x v="0"/>
    <n v="16"/>
    <x v="0"/>
    <x v="5"/>
    <x v="1"/>
    <x v="0"/>
    <x v="0"/>
    <n v="77"/>
    <x v="0"/>
    <x v="0"/>
    <x v="0"/>
    <x v="0"/>
    <n v="48"/>
    <x v="0"/>
    <x v="0"/>
    <n v="48"/>
    <x v="0"/>
    <x v="0"/>
    <n v="98"/>
  </r>
  <r>
    <x v="1"/>
    <x v="0"/>
    <n v="17"/>
    <x v="0"/>
    <x v="4"/>
    <x v="3"/>
    <x v="0"/>
    <x v="0"/>
    <n v="120"/>
    <x v="0"/>
    <x v="0"/>
    <x v="0"/>
    <x v="0"/>
    <n v="96"/>
    <x v="0"/>
    <x v="0"/>
    <n v="96"/>
    <x v="0"/>
    <x v="0"/>
    <n v="146"/>
  </r>
  <r>
    <x v="1"/>
    <x v="0"/>
    <n v="18"/>
    <x v="0"/>
    <x v="1"/>
    <x v="1"/>
    <x v="2"/>
    <x v="1"/>
    <n v="56"/>
    <x v="0"/>
    <x v="0"/>
    <x v="0"/>
    <x v="0"/>
    <n v="96"/>
    <x v="2"/>
    <x v="2"/>
    <n v="-192"/>
    <x v="1"/>
    <x v="0"/>
    <n v="-242"/>
  </r>
  <r>
    <x v="1"/>
    <x v="0"/>
    <n v="18"/>
    <x v="0"/>
    <x v="1"/>
    <x v="1"/>
    <x v="2"/>
    <x v="1"/>
    <n v="56"/>
    <x v="0"/>
    <x v="0"/>
    <x v="0"/>
    <x v="0"/>
    <n v="96"/>
    <x v="2"/>
    <x v="1"/>
    <n v="0"/>
    <x v="2"/>
    <x v="2"/>
    <n v="40"/>
  </r>
  <r>
    <x v="1"/>
    <x v="0"/>
    <n v="18"/>
    <x v="0"/>
    <x v="1"/>
    <x v="1"/>
    <x v="2"/>
    <x v="1"/>
    <n v="56"/>
    <x v="0"/>
    <x v="0"/>
    <x v="0"/>
    <x v="0"/>
    <n v="96"/>
    <x v="2"/>
    <x v="0"/>
    <n v="0"/>
    <x v="2"/>
    <x v="2"/>
    <n v="40"/>
  </r>
  <r>
    <x v="1"/>
    <x v="0"/>
    <n v="19"/>
    <x v="5"/>
    <x v="4"/>
    <x v="1"/>
    <x v="0"/>
    <x v="0"/>
    <n v="79"/>
    <x v="0"/>
    <x v="0"/>
    <x v="0"/>
    <x v="0"/>
    <n v="24"/>
    <x v="0"/>
    <x v="0"/>
    <n v="24"/>
    <x v="0"/>
    <x v="0"/>
    <n v="74"/>
  </r>
  <r>
    <x v="1"/>
    <x v="0"/>
    <n v="20"/>
    <x v="4"/>
    <x v="6"/>
    <x v="0"/>
    <x v="0"/>
    <x v="0"/>
    <n v="96"/>
    <x v="0"/>
    <x v="0"/>
    <x v="0"/>
    <x v="0"/>
    <n v="40"/>
    <x v="0"/>
    <x v="0"/>
    <n v="40"/>
    <x v="0"/>
    <x v="0"/>
    <n v="90"/>
  </r>
  <r>
    <x v="1"/>
    <x v="0"/>
    <n v="21"/>
    <x v="4"/>
    <x v="5"/>
    <x v="1"/>
    <x v="0"/>
    <x v="0"/>
    <n v="65"/>
    <x v="0"/>
    <x v="0"/>
    <x v="0"/>
    <x v="0"/>
    <n v="20"/>
    <x v="0"/>
    <x v="0"/>
    <n v="20"/>
    <x v="0"/>
    <x v="0"/>
    <n v="70"/>
  </r>
  <r>
    <x v="1"/>
    <x v="0"/>
    <n v="22"/>
    <x v="2"/>
    <x v="2"/>
    <x v="1"/>
    <x v="0"/>
    <x v="1"/>
    <n v="0"/>
    <x v="0"/>
    <x v="0"/>
    <x v="0"/>
    <x v="0"/>
    <n v="23"/>
    <x v="2"/>
    <x v="2"/>
    <n v="0"/>
    <x v="2"/>
    <x v="2"/>
    <n v="40"/>
  </r>
  <r>
    <x v="1"/>
    <x v="0"/>
    <n v="22"/>
    <x v="2"/>
    <x v="2"/>
    <x v="1"/>
    <x v="0"/>
    <x v="1"/>
    <n v="0"/>
    <x v="0"/>
    <x v="0"/>
    <x v="0"/>
    <x v="0"/>
    <n v="23"/>
    <x v="2"/>
    <x v="1"/>
    <n v="0"/>
    <x v="2"/>
    <x v="2"/>
    <n v="40"/>
  </r>
  <r>
    <x v="1"/>
    <x v="0"/>
    <n v="22"/>
    <x v="2"/>
    <x v="2"/>
    <x v="1"/>
    <x v="0"/>
    <x v="1"/>
    <n v="0"/>
    <x v="0"/>
    <x v="0"/>
    <x v="0"/>
    <x v="0"/>
    <n v="23"/>
    <x v="2"/>
    <x v="0"/>
    <n v="-46"/>
    <x v="1"/>
    <x v="0"/>
    <n v="-96"/>
  </r>
  <r>
    <x v="1"/>
    <x v="0"/>
    <n v="23"/>
    <x v="4"/>
    <x v="4"/>
    <x v="1"/>
    <x v="0"/>
    <x v="0"/>
    <n v="80"/>
    <x v="0"/>
    <x v="0"/>
    <x v="0"/>
    <x v="0"/>
    <n v="20"/>
    <x v="0"/>
    <x v="0"/>
    <n v="20"/>
    <x v="0"/>
    <x v="0"/>
    <n v="70"/>
  </r>
  <r>
    <x v="1"/>
    <x v="0"/>
    <n v="24"/>
    <x v="4"/>
    <x v="5"/>
    <x v="1"/>
    <x v="1"/>
    <x v="0"/>
    <n v="89"/>
    <x v="0"/>
    <x v="0"/>
    <x v="0"/>
    <x v="0"/>
    <n v="20"/>
    <x v="0"/>
    <x v="1"/>
    <n v="20"/>
    <x v="0"/>
    <x v="0"/>
    <n v="70"/>
  </r>
  <r>
    <x v="1"/>
    <x v="0"/>
    <n v="25"/>
    <x v="5"/>
    <x v="4"/>
    <x v="0"/>
    <x v="1"/>
    <x v="0"/>
    <n v="108"/>
    <x v="0"/>
    <x v="0"/>
    <x v="0"/>
    <x v="0"/>
    <n v="36"/>
    <x v="0"/>
    <x v="1"/>
    <n v="36"/>
    <x v="0"/>
    <x v="0"/>
    <n v="86"/>
  </r>
  <r>
    <x v="1"/>
    <x v="0"/>
    <n v="26"/>
    <x v="5"/>
    <x v="6"/>
    <x v="1"/>
    <x v="0"/>
    <x v="0"/>
    <n v="77"/>
    <x v="0"/>
    <x v="0"/>
    <x v="0"/>
    <x v="0"/>
    <n v="36"/>
    <x v="0"/>
    <x v="0"/>
    <n v="36"/>
    <x v="0"/>
    <x v="0"/>
    <n v="86"/>
  </r>
  <r>
    <x v="1"/>
    <x v="0"/>
    <n v="27"/>
    <x v="4"/>
    <x v="4"/>
    <x v="1"/>
    <x v="1"/>
    <x v="1"/>
    <n v="50"/>
    <x v="0"/>
    <x v="0"/>
    <x v="0"/>
    <x v="0"/>
    <n v="20"/>
    <x v="2"/>
    <x v="2"/>
    <n v="0"/>
    <x v="2"/>
    <x v="2"/>
    <n v="40"/>
  </r>
  <r>
    <x v="1"/>
    <x v="0"/>
    <n v="27"/>
    <x v="4"/>
    <x v="4"/>
    <x v="1"/>
    <x v="1"/>
    <x v="1"/>
    <n v="50"/>
    <x v="0"/>
    <x v="0"/>
    <x v="0"/>
    <x v="0"/>
    <n v="20"/>
    <x v="2"/>
    <x v="1"/>
    <n v="-40"/>
    <x v="1"/>
    <x v="0"/>
    <n v="-90"/>
  </r>
  <r>
    <x v="1"/>
    <x v="0"/>
    <n v="27"/>
    <x v="4"/>
    <x v="4"/>
    <x v="1"/>
    <x v="1"/>
    <x v="1"/>
    <n v="50"/>
    <x v="0"/>
    <x v="0"/>
    <x v="0"/>
    <x v="0"/>
    <n v="20"/>
    <x v="2"/>
    <x v="0"/>
    <n v="0"/>
    <x v="2"/>
    <x v="2"/>
    <n v="40"/>
  </r>
  <r>
    <x v="1"/>
    <x v="0"/>
    <n v="28"/>
    <x v="5"/>
    <x v="8"/>
    <x v="0"/>
    <x v="0"/>
    <x v="0"/>
    <n v="106"/>
    <x v="0"/>
    <x v="0"/>
    <x v="0"/>
    <x v="0"/>
    <n v="48"/>
    <x v="0"/>
    <x v="0"/>
    <n v="48"/>
    <x v="0"/>
    <x v="0"/>
    <n v="98"/>
  </r>
  <r>
    <x v="1"/>
    <x v="0"/>
    <n v="29"/>
    <x v="2"/>
    <x v="2"/>
    <x v="2"/>
    <x v="0"/>
    <x v="0"/>
    <n v="0"/>
    <x v="0"/>
    <x v="0"/>
    <x v="0"/>
    <x v="0"/>
    <n v="46"/>
    <x v="0"/>
    <x v="0"/>
    <n v="46"/>
    <x v="0"/>
    <x v="0"/>
    <n v="96"/>
  </r>
  <r>
    <x v="1"/>
    <x v="0"/>
    <n v="30"/>
    <x v="6"/>
    <x v="6"/>
    <x v="0"/>
    <x v="1"/>
    <x v="0"/>
    <n v="90"/>
    <x v="0"/>
    <x v="0"/>
    <x v="0"/>
    <x v="0"/>
    <n v="36"/>
    <x v="0"/>
    <x v="1"/>
    <n v="36"/>
    <x v="0"/>
    <x v="0"/>
    <n v="86"/>
  </r>
  <r>
    <x v="1"/>
    <x v="0"/>
    <n v="31"/>
    <x v="5"/>
    <x v="5"/>
    <x v="1"/>
    <x v="0"/>
    <x v="1"/>
    <n v="58"/>
    <x v="0"/>
    <x v="0"/>
    <x v="0"/>
    <x v="0"/>
    <n v="24"/>
    <x v="2"/>
    <x v="2"/>
    <n v="0"/>
    <x v="2"/>
    <x v="2"/>
    <n v="40"/>
  </r>
  <r>
    <x v="1"/>
    <x v="0"/>
    <n v="31"/>
    <x v="5"/>
    <x v="5"/>
    <x v="1"/>
    <x v="0"/>
    <x v="1"/>
    <n v="58"/>
    <x v="0"/>
    <x v="0"/>
    <x v="0"/>
    <x v="0"/>
    <n v="24"/>
    <x v="2"/>
    <x v="1"/>
    <n v="0"/>
    <x v="2"/>
    <x v="2"/>
    <n v="40"/>
  </r>
  <r>
    <x v="1"/>
    <x v="0"/>
    <n v="31"/>
    <x v="5"/>
    <x v="5"/>
    <x v="1"/>
    <x v="0"/>
    <x v="1"/>
    <n v="58"/>
    <x v="0"/>
    <x v="0"/>
    <x v="0"/>
    <x v="0"/>
    <n v="24"/>
    <x v="2"/>
    <x v="0"/>
    <n v="-48"/>
    <x v="1"/>
    <x v="0"/>
    <n v="-98"/>
  </r>
  <r>
    <x v="1"/>
    <x v="0"/>
    <n v="32"/>
    <x v="0"/>
    <x v="4"/>
    <x v="4"/>
    <x v="1"/>
    <x v="0"/>
    <n v="72"/>
    <x v="0"/>
    <x v="0"/>
    <x v="0"/>
    <x v="0"/>
    <n v="72"/>
    <x v="0"/>
    <x v="1"/>
    <n v="72"/>
    <x v="0"/>
    <x v="0"/>
    <n v="122"/>
  </r>
  <r>
    <x v="1"/>
    <x v="0"/>
    <n v="33"/>
    <x v="6"/>
    <x v="5"/>
    <x v="1"/>
    <x v="1"/>
    <x v="1"/>
    <n v="46"/>
    <x v="0"/>
    <x v="0"/>
    <x v="0"/>
    <x v="0"/>
    <n v="18"/>
    <x v="2"/>
    <x v="2"/>
    <n v="0"/>
    <x v="2"/>
    <x v="2"/>
    <n v="40"/>
  </r>
  <r>
    <x v="1"/>
    <x v="0"/>
    <n v="33"/>
    <x v="6"/>
    <x v="5"/>
    <x v="1"/>
    <x v="1"/>
    <x v="1"/>
    <n v="46"/>
    <x v="0"/>
    <x v="0"/>
    <x v="0"/>
    <x v="0"/>
    <n v="18"/>
    <x v="2"/>
    <x v="1"/>
    <n v="-36"/>
    <x v="1"/>
    <x v="0"/>
    <n v="-86"/>
  </r>
  <r>
    <x v="1"/>
    <x v="0"/>
    <n v="33"/>
    <x v="6"/>
    <x v="5"/>
    <x v="1"/>
    <x v="1"/>
    <x v="1"/>
    <n v="46"/>
    <x v="0"/>
    <x v="0"/>
    <x v="0"/>
    <x v="0"/>
    <n v="18"/>
    <x v="2"/>
    <x v="0"/>
    <n v="0"/>
    <x v="2"/>
    <x v="2"/>
    <n v="40"/>
  </r>
  <r>
    <x v="1"/>
    <x v="0"/>
    <n v="34"/>
    <x v="1"/>
    <x v="1"/>
    <x v="0"/>
    <x v="0"/>
    <x v="0"/>
    <n v="95"/>
    <x v="0"/>
    <x v="0"/>
    <x v="0"/>
    <x v="0"/>
    <n v="55"/>
    <x v="0"/>
    <x v="0"/>
    <n v="55"/>
    <x v="0"/>
    <x v="0"/>
    <n v="105"/>
  </r>
  <r>
    <x v="1"/>
    <x v="0"/>
    <n v="35"/>
    <x v="4"/>
    <x v="8"/>
    <x v="1"/>
    <x v="2"/>
    <x v="0"/>
    <n v="88"/>
    <x v="0"/>
    <x v="0"/>
    <x v="0"/>
    <x v="0"/>
    <n v="30"/>
    <x v="0"/>
    <x v="2"/>
    <n v="30"/>
    <x v="0"/>
    <x v="0"/>
    <n v="80"/>
  </r>
  <r>
    <x v="1"/>
    <x v="0"/>
    <n v="36"/>
    <x v="1"/>
    <x v="5"/>
    <x v="1"/>
    <x v="1"/>
    <x v="0"/>
    <n v="70"/>
    <x v="0"/>
    <x v="0"/>
    <x v="0"/>
    <x v="0"/>
    <n v="22"/>
    <x v="0"/>
    <x v="1"/>
    <n v="22"/>
    <x v="0"/>
    <x v="0"/>
    <n v="72"/>
  </r>
  <r>
    <x v="2"/>
    <x v="0"/>
    <n v="1"/>
    <x v="5"/>
    <x v="5"/>
    <x v="1"/>
    <x v="1"/>
    <x v="0"/>
    <n v="87"/>
    <x v="0"/>
    <x v="0"/>
    <x v="0"/>
    <x v="0"/>
    <n v="24"/>
    <x v="0"/>
    <x v="1"/>
    <n v="24"/>
    <x v="0"/>
    <x v="0"/>
    <n v="74"/>
  </r>
  <r>
    <x v="2"/>
    <x v="1"/>
    <n v="1"/>
    <x v="6"/>
    <x v="4"/>
    <x v="0"/>
    <x v="2"/>
    <x v="0"/>
    <n v="95"/>
    <x v="0"/>
    <x v="0"/>
    <x v="0"/>
    <x v="0"/>
    <n v="27"/>
    <x v="0"/>
    <x v="2"/>
    <n v="27"/>
    <x v="0"/>
    <x v="0"/>
    <n v="77"/>
  </r>
  <r>
    <x v="2"/>
    <x v="2"/>
    <n v="1"/>
    <x v="6"/>
    <x v="7"/>
    <x v="1"/>
    <x v="2"/>
    <x v="0"/>
    <n v="78"/>
    <x v="0"/>
    <x v="0"/>
    <x v="0"/>
    <x v="0"/>
    <n v="36"/>
    <x v="0"/>
    <x v="2"/>
    <n v="36"/>
    <x v="0"/>
    <x v="0"/>
    <n v="86"/>
  </r>
  <r>
    <x v="2"/>
    <x v="2"/>
    <n v="2"/>
    <x v="2"/>
    <x v="2"/>
    <x v="2"/>
    <x v="0"/>
    <x v="0"/>
    <m/>
    <x v="0"/>
    <x v="0"/>
    <x v="0"/>
    <x v="0"/>
    <n v="46"/>
    <x v="0"/>
    <x v="0"/>
    <n v="46"/>
    <x v="0"/>
    <x v="0"/>
    <n v="96"/>
  </r>
  <r>
    <x v="2"/>
    <x v="0"/>
    <n v="2"/>
    <x v="2"/>
    <x v="2"/>
    <x v="1"/>
    <x v="2"/>
    <x v="1"/>
    <m/>
    <x v="0"/>
    <x v="0"/>
    <x v="0"/>
    <x v="0"/>
    <n v="23"/>
    <x v="2"/>
    <x v="1"/>
    <n v="0"/>
    <x v="2"/>
    <x v="2"/>
    <n v="40"/>
  </r>
  <r>
    <x v="2"/>
    <x v="0"/>
    <n v="2"/>
    <x v="2"/>
    <x v="2"/>
    <x v="1"/>
    <x v="2"/>
    <x v="1"/>
    <m/>
    <x v="0"/>
    <x v="0"/>
    <x v="0"/>
    <x v="0"/>
    <n v="23"/>
    <x v="2"/>
    <x v="2"/>
    <n v="-46"/>
    <x v="1"/>
    <x v="0"/>
    <n v="-96"/>
  </r>
  <r>
    <x v="2"/>
    <x v="0"/>
    <n v="2"/>
    <x v="2"/>
    <x v="2"/>
    <x v="1"/>
    <x v="2"/>
    <x v="1"/>
    <m/>
    <x v="0"/>
    <x v="0"/>
    <x v="0"/>
    <x v="0"/>
    <n v="23"/>
    <x v="2"/>
    <x v="0"/>
    <n v="0"/>
    <x v="2"/>
    <x v="2"/>
    <n v="40"/>
  </r>
  <r>
    <x v="2"/>
    <x v="1"/>
    <n v="2"/>
    <x v="0"/>
    <x v="6"/>
    <x v="0"/>
    <x v="1"/>
    <x v="0"/>
    <n v="99"/>
    <x v="0"/>
    <x v="0"/>
    <x v="0"/>
    <x v="0"/>
    <n v="96"/>
    <x v="0"/>
    <x v="1"/>
    <n v="96"/>
    <x v="0"/>
    <x v="0"/>
    <n v="146"/>
  </r>
  <r>
    <x v="2"/>
    <x v="2"/>
    <n v="3"/>
    <x v="5"/>
    <x v="4"/>
    <x v="0"/>
    <x v="1"/>
    <x v="0"/>
    <n v="91"/>
    <x v="0"/>
    <x v="0"/>
    <x v="0"/>
    <x v="0"/>
    <n v="36"/>
    <x v="0"/>
    <x v="1"/>
    <n v="36"/>
    <x v="0"/>
    <x v="0"/>
    <n v="86"/>
  </r>
  <r>
    <x v="2"/>
    <x v="0"/>
    <n v="3"/>
    <x v="0"/>
    <x v="0"/>
    <x v="1"/>
    <x v="1"/>
    <x v="0"/>
    <n v="74"/>
    <x v="0"/>
    <x v="0"/>
    <x v="0"/>
    <x v="0"/>
    <n v="120"/>
    <x v="0"/>
    <x v="1"/>
    <n v="120"/>
    <x v="0"/>
    <x v="0"/>
    <n v="170"/>
  </r>
  <r>
    <x v="2"/>
    <x v="1"/>
    <n v="3"/>
    <x v="1"/>
    <x v="4"/>
    <x v="1"/>
    <x v="0"/>
    <x v="0"/>
    <n v="86"/>
    <x v="0"/>
    <x v="0"/>
    <x v="0"/>
    <x v="0"/>
    <n v="22"/>
    <x v="0"/>
    <x v="0"/>
    <n v="22"/>
    <x v="0"/>
    <x v="0"/>
    <n v="72"/>
  </r>
  <r>
    <x v="2"/>
    <x v="1"/>
    <n v="4"/>
    <x v="4"/>
    <x v="6"/>
    <x v="3"/>
    <x v="1"/>
    <x v="0"/>
    <n v="120"/>
    <x v="0"/>
    <x v="0"/>
    <x v="0"/>
    <x v="0"/>
    <n v="50"/>
    <x v="0"/>
    <x v="1"/>
    <n v="50"/>
    <x v="0"/>
    <x v="0"/>
    <n v="100"/>
  </r>
  <r>
    <x v="2"/>
    <x v="0"/>
    <n v="4"/>
    <x v="4"/>
    <x v="1"/>
    <x v="4"/>
    <x v="2"/>
    <x v="0"/>
    <n v="76"/>
    <x v="0"/>
    <x v="0"/>
    <x v="0"/>
    <x v="0"/>
    <n v="50"/>
    <x v="0"/>
    <x v="2"/>
    <n v="50"/>
    <x v="0"/>
    <x v="0"/>
    <n v="100"/>
  </r>
  <r>
    <x v="2"/>
    <x v="2"/>
    <n v="4"/>
    <x v="3"/>
    <x v="2"/>
    <x v="1"/>
    <x v="2"/>
    <x v="1"/>
    <n v="80"/>
    <x v="0"/>
    <x v="0"/>
    <x v="0"/>
    <x v="0"/>
    <n v="80"/>
    <x v="1"/>
    <x v="2"/>
    <n v="-80"/>
    <x v="1"/>
    <x v="1"/>
    <n v="-130"/>
  </r>
  <r>
    <x v="2"/>
    <x v="2"/>
    <n v="4"/>
    <x v="3"/>
    <x v="2"/>
    <x v="1"/>
    <x v="2"/>
    <x v="1"/>
    <n v="80"/>
    <x v="0"/>
    <x v="0"/>
    <x v="0"/>
    <x v="0"/>
    <n v="80"/>
    <x v="1"/>
    <x v="0"/>
    <n v="0"/>
    <x v="2"/>
    <x v="1"/>
    <n v="40"/>
  </r>
  <r>
    <x v="2"/>
    <x v="2"/>
    <n v="4"/>
    <x v="3"/>
    <x v="2"/>
    <x v="1"/>
    <x v="2"/>
    <x v="1"/>
    <n v="80"/>
    <x v="0"/>
    <x v="0"/>
    <x v="0"/>
    <x v="0"/>
    <n v="80"/>
    <x v="1"/>
    <x v="1"/>
    <n v="0"/>
    <x v="2"/>
    <x v="1"/>
    <n v="40"/>
  </r>
  <r>
    <x v="2"/>
    <x v="0"/>
    <n v="5"/>
    <x v="3"/>
    <x v="2"/>
    <x v="1"/>
    <x v="0"/>
    <x v="1"/>
    <n v="62"/>
    <x v="0"/>
    <x v="0"/>
    <x v="0"/>
    <x v="0"/>
    <n v="62"/>
    <x v="1"/>
    <x v="1"/>
    <n v="0"/>
    <x v="2"/>
    <x v="1"/>
    <n v="40"/>
  </r>
  <r>
    <x v="2"/>
    <x v="0"/>
    <n v="5"/>
    <x v="3"/>
    <x v="2"/>
    <x v="1"/>
    <x v="0"/>
    <x v="1"/>
    <n v="62"/>
    <x v="0"/>
    <x v="0"/>
    <x v="0"/>
    <x v="0"/>
    <n v="62"/>
    <x v="1"/>
    <x v="2"/>
    <n v="0"/>
    <x v="2"/>
    <x v="1"/>
    <n v="40"/>
  </r>
  <r>
    <x v="2"/>
    <x v="0"/>
    <n v="5"/>
    <x v="3"/>
    <x v="2"/>
    <x v="1"/>
    <x v="0"/>
    <x v="1"/>
    <n v="62"/>
    <x v="0"/>
    <x v="0"/>
    <x v="0"/>
    <x v="0"/>
    <n v="62"/>
    <x v="1"/>
    <x v="0"/>
    <n v="-62"/>
    <x v="1"/>
    <x v="1"/>
    <n v="-112"/>
  </r>
  <r>
    <x v="2"/>
    <x v="1"/>
    <n v="5"/>
    <x v="3"/>
    <x v="2"/>
    <x v="1"/>
    <x v="0"/>
    <x v="1"/>
    <n v="61"/>
    <x v="0"/>
    <x v="0"/>
    <x v="0"/>
    <x v="0"/>
    <n v="61"/>
    <x v="1"/>
    <x v="2"/>
    <n v="0"/>
    <x v="2"/>
    <x v="1"/>
    <n v="40"/>
  </r>
  <r>
    <x v="2"/>
    <x v="1"/>
    <n v="5"/>
    <x v="3"/>
    <x v="2"/>
    <x v="1"/>
    <x v="0"/>
    <x v="1"/>
    <n v="61"/>
    <x v="0"/>
    <x v="0"/>
    <x v="0"/>
    <x v="0"/>
    <n v="61"/>
    <x v="1"/>
    <x v="1"/>
    <n v="0"/>
    <x v="2"/>
    <x v="1"/>
    <n v="40"/>
  </r>
  <r>
    <x v="2"/>
    <x v="1"/>
    <n v="5"/>
    <x v="3"/>
    <x v="2"/>
    <x v="1"/>
    <x v="0"/>
    <x v="1"/>
    <n v="61"/>
    <x v="0"/>
    <x v="0"/>
    <x v="0"/>
    <x v="0"/>
    <n v="61"/>
    <x v="1"/>
    <x v="0"/>
    <n v="-61"/>
    <x v="1"/>
    <x v="1"/>
    <n v="-111"/>
  </r>
  <r>
    <x v="2"/>
    <x v="2"/>
    <n v="5"/>
    <x v="4"/>
    <x v="8"/>
    <x v="1"/>
    <x v="0"/>
    <x v="1"/>
    <n v="59"/>
    <x v="0"/>
    <x v="0"/>
    <x v="0"/>
    <x v="0"/>
    <n v="30"/>
    <x v="2"/>
    <x v="2"/>
    <n v="0"/>
    <x v="2"/>
    <x v="2"/>
    <n v="40"/>
  </r>
  <r>
    <x v="2"/>
    <x v="2"/>
    <n v="5"/>
    <x v="4"/>
    <x v="8"/>
    <x v="1"/>
    <x v="0"/>
    <x v="1"/>
    <n v="59"/>
    <x v="0"/>
    <x v="0"/>
    <x v="0"/>
    <x v="0"/>
    <n v="30"/>
    <x v="2"/>
    <x v="0"/>
    <n v="-60"/>
    <x v="1"/>
    <x v="0"/>
    <n v="-110"/>
  </r>
  <r>
    <x v="2"/>
    <x v="2"/>
    <n v="5"/>
    <x v="4"/>
    <x v="8"/>
    <x v="1"/>
    <x v="0"/>
    <x v="1"/>
    <n v="59"/>
    <x v="0"/>
    <x v="0"/>
    <x v="0"/>
    <x v="0"/>
    <n v="30"/>
    <x v="2"/>
    <x v="1"/>
    <n v="0"/>
    <x v="2"/>
    <x v="2"/>
    <n v="40"/>
  </r>
  <r>
    <x v="2"/>
    <x v="1"/>
    <n v="6"/>
    <x v="3"/>
    <x v="2"/>
    <x v="1"/>
    <x v="1"/>
    <x v="1"/>
    <n v="86"/>
    <x v="0"/>
    <x v="0"/>
    <x v="0"/>
    <x v="0"/>
    <n v="86"/>
    <x v="1"/>
    <x v="2"/>
    <n v="0"/>
    <x v="2"/>
    <x v="1"/>
    <n v="40"/>
  </r>
  <r>
    <x v="2"/>
    <x v="1"/>
    <n v="6"/>
    <x v="3"/>
    <x v="2"/>
    <x v="1"/>
    <x v="1"/>
    <x v="1"/>
    <n v="86"/>
    <x v="0"/>
    <x v="0"/>
    <x v="0"/>
    <x v="0"/>
    <n v="86"/>
    <x v="1"/>
    <x v="1"/>
    <n v="-86"/>
    <x v="1"/>
    <x v="1"/>
    <n v="-136"/>
  </r>
  <r>
    <x v="2"/>
    <x v="1"/>
    <n v="6"/>
    <x v="3"/>
    <x v="2"/>
    <x v="1"/>
    <x v="1"/>
    <x v="1"/>
    <n v="86"/>
    <x v="0"/>
    <x v="0"/>
    <x v="0"/>
    <x v="0"/>
    <n v="86"/>
    <x v="1"/>
    <x v="0"/>
    <n v="0"/>
    <x v="2"/>
    <x v="1"/>
    <n v="40"/>
  </r>
  <r>
    <x v="2"/>
    <x v="0"/>
    <n v="6"/>
    <x v="4"/>
    <x v="4"/>
    <x v="1"/>
    <x v="0"/>
    <x v="1"/>
    <n v="69"/>
    <x v="0"/>
    <x v="0"/>
    <x v="0"/>
    <x v="1"/>
    <n v="20"/>
    <x v="2"/>
    <x v="1"/>
    <n v="0"/>
    <x v="2"/>
    <x v="2"/>
    <n v="40"/>
  </r>
  <r>
    <x v="2"/>
    <x v="0"/>
    <n v="6"/>
    <x v="4"/>
    <x v="4"/>
    <x v="1"/>
    <x v="0"/>
    <x v="1"/>
    <n v="69"/>
    <x v="0"/>
    <x v="0"/>
    <x v="0"/>
    <x v="1"/>
    <n v="20"/>
    <x v="2"/>
    <x v="2"/>
    <n v="0"/>
    <x v="2"/>
    <x v="2"/>
    <n v="40"/>
  </r>
  <r>
    <x v="2"/>
    <x v="0"/>
    <n v="6"/>
    <x v="4"/>
    <x v="4"/>
    <x v="1"/>
    <x v="0"/>
    <x v="1"/>
    <n v="69"/>
    <x v="0"/>
    <x v="0"/>
    <x v="0"/>
    <x v="1"/>
    <n v="20"/>
    <x v="2"/>
    <x v="0"/>
    <n v="-40"/>
    <x v="1"/>
    <x v="0"/>
    <n v="-90"/>
  </r>
  <r>
    <x v="2"/>
    <x v="2"/>
    <n v="6"/>
    <x v="0"/>
    <x v="0"/>
    <x v="4"/>
    <x v="2"/>
    <x v="0"/>
    <n v="84"/>
    <x v="0"/>
    <x v="0"/>
    <x v="0"/>
    <x v="0"/>
    <n v="144"/>
    <x v="0"/>
    <x v="2"/>
    <n v="144"/>
    <x v="0"/>
    <x v="0"/>
    <n v="194"/>
  </r>
  <r>
    <x v="2"/>
    <x v="2"/>
    <n v="7"/>
    <x v="0"/>
    <x v="4"/>
    <x v="1"/>
    <x v="0"/>
    <x v="0"/>
    <n v="70"/>
    <x v="0"/>
    <x v="0"/>
    <x v="0"/>
    <x v="0"/>
    <n v="48"/>
    <x v="0"/>
    <x v="0"/>
    <n v="48"/>
    <x v="0"/>
    <x v="0"/>
    <n v="98"/>
  </r>
  <r>
    <x v="2"/>
    <x v="1"/>
    <n v="7"/>
    <x v="0"/>
    <x v="4"/>
    <x v="1"/>
    <x v="0"/>
    <x v="0"/>
    <n v="81"/>
    <x v="0"/>
    <x v="0"/>
    <x v="0"/>
    <x v="0"/>
    <n v="48"/>
    <x v="0"/>
    <x v="0"/>
    <n v="48"/>
    <x v="0"/>
    <x v="0"/>
    <n v="98"/>
  </r>
  <r>
    <x v="2"/>
    <x v="0"/>
    <n v="7"/>
    <x v="4"/>
    <x v="4"/>
    <x v="1"/>
    <x v="1"/>
    <x v="0"/>
    <n v="68"/>
    <x v="0"/>
    <x v="0"/>
    <x v="0"/>
    <x v="0"/>
    <n v="20"/>
    <x v="0"/>
    <x v="1"/>
    <n v="20"/>
    <x v="0"/>
    <x v="0"/>
    <n v="70"/>
  </r>
  <r>
    <x v="2"/>
    <x v="1"/>
    <n v="8"/>
    <x v="0"/>
    <x v="6"/>
    <x v="1"/>
    <x v="0"/>
    <x v="0"/>
    <n v="77"/>
    <x v="0"/>
    <x v="0"/>
    <x v="0"/>
    <x v="0"/>
    <n v="72"/>
    <x v="0"/>
    <x v="0"/>
    <n v="72"/>
    <x v="0"/>
    <x v="0"/>
    <n v="122"/>
  </r>
  <r>
    <x v="2"/>
    <x v="0"/>
    <n v="8"/>
    <x v="6"/>
    <x v="6"/>
    <x v="1"/>
    <x v="1"/>
    <x v="1"/>
    <n v="52"/>
    <x v="0"/>
    <x v="0"/>
    <x v="0"/>
    <x v="0"/>
    <n v="27"/>
    <x v="2"/>
    <x v="1"/>
    <n v="-54"/>
    <x v="1"/>
    <x v="0"/>
    <n v="-104"/>
  </r>
  <r>
    <x v="2"/>
    <x v="0"/>
    <n v="8"/>
    <x v="6"/>
    <x v="6"/>
    <x v="1"/>
    <x v="1"/>
    <x v="1"/>
    <n v="52"/>
    <x v="0"/>
    <x v="0"/>
    <x v="0"/>
    <x v="0"/>
    <n v="27"/>
    <x v="2"/>
    <x v="2"/>
    <n v="0"/>
    <x v="2"/>
    <x v="2"/>
    <n v="40"/>
  </r>
  <r>
    <x v="2"/>
    <x v="0"/>
    <n v="8"/>
    <x v="6"/>
    <x v="6"/>
    <x v="1"/>
    <x v="1"/>
    <x v="1"/>
    <n v="52"/>
    <x v="0"/>
    <x v="0"/>
    <x v="0"/>
    <x v="0"/>
    <n v="27"/>
    <x v="2"/>
    <x v="0"/>
    <n v="0"/>
    <x v="2"/>
    <x v="2"/>
    <n v="40"/>
  </r>
  <r>
    <x v="2"/>
    <x v="2"/>
    <n v="8"/>
    <x v="1"/>
    <x v="4"/>
    <x v="0"/>
    <x v="2"/>
    <x v="0"/>
    <n v="102"/>
    <x v="0"/>
    <x v="0"/>
    <x v="0"/>
    <x v="0"/>
    <n v="33"/>
    <x v="0"/>
    <x v="2"/>
    <n v="33"/>
    <x v="0"/>
    <x v="0"/>
    <n v="83"/>
  </r>
  <r>
    <x v="2"/>
    <x v="0"/>
    <n v="9"/>
    <x v="2"/>
    <x v="2"/>
    <x v="1"/>
    <x v="0"/>
    <x v="1"/>
    <m/>
    <x v="0"/>
    <x v="0"/>
    <x v="0"/>
    <x v="0"/>
    <n v="23"/>
    <x v="2"/>
    <x v="1"/>
    <n v="0"/>
    <x v="2"/>
    <x v="2"/>
    <n v="40"/>
  </r>
  <r>
    <x v="2"/>
    <x v="0"/>
    <n v="9"/>
    <x v="2"/>
    <x v="2"/>
    <x v="1"/>
    <x v="0"/>
    <x v="1"/>
    <m/>
    <x v="0"/>
    <x v="0"/>
    <x v="0"/>
    <x v="0"/>
    <n v="23"/>
    <x v="2"/>
    <x v="2"/>
    <n v="0"/>
    <x v="2"/>
    <x v="2"/>
    <n v="40"/>
  </r>
  <r>
    <x v="2"/>
    <x v="0"/>
    <n v="9"/>
    <x v="2"/>
    <x v="2"/>
    <x v="1"/>
    <x v="0"/>
    <x v="1"/>
    <m/>
    <x v="0"/>
    <x v="0"/>
    <x v="0"/>
    <x v="0"/>
    <n v="23"/>
    <x v="2"/>
    <x v="0"/>
    <n v="-46"/>
    <x v="1"/>
    <x v="0"/>
    <n v="-96"/>
  </r>
  <r>
    <x v="2"/>
    <x v="2"/>
    <n v="9"/>
    <x v="1"/>
    <x v="5"/>
    <x v="1"/>
    <x v="0"/>
    <x v="0"/>
    <n v="77"/>
    <x v="0"/>
    <x v="0"/>
    <x v="0"/>
    <x v="0"/>
    <n v="22"/>
    <x v="0"/>
    <x v="0"/>
    <n v="22"/>
    <x v="0"/>
    <x v="0"/>
    <n v="72"/>
  </r>
  <r>
    <x v="2"/>
    <x v="1"/>
    <n v="9"/>
    <x v="2"/>
    <x v="2"/>
    <x v="1"/>
    <x v="2"/>
    <x v="0"/>
    <m/>
    <x v="0"/>
    <x v="0"/>
    <x v="0"/>
    <x v="0"/>
    <n v="23"/>
    <x v="0"/>
    <x v="2"/>
    <n v="23"/>
    <x v="0"/>
    <x v="0"/>
    <n v="73"/>
  </r>
  <r>
    <x v="2"/>
    <x v="1"/>
    <n v="10"/>
    <x v="0"/>
    <x v="4"/>
    <x v="1"/>
    <x v="0"/>
    <x v="0"/>
    <n v="79"/>
    <x v="0"/>
    <x v="0"/>
    <x v="0"/>
    <x v="0"/>
    <n v="48"/>
    <x v="0"/>
    <x v="0"/>
    <n v="48"/>
    <x v="0"/>
    <x v="0"/>
    <n v="98"/>
  </r>
  <r>
    <x v="2"/>
    <x v="2"/>
    <n v="10"/>
    <x v="4"/>
    <x v="5"/>
    <x v="1"/>
    <x v="1"/>
    <x v="1"/>
    <n v="50"/>
    <x v="0"/>
    <x v="0"/>
    <x v="0"/>
    <x v="0"/>
    <n v="20"/>
    <x v="2"/>
    <x v="2"/>
    <n v="0"/>
    <x v="2"/>
    <x v="2"/>
    <n v="40"/>
  </r>
  <r>
    <x v="2"/>
    <x v="2"/>
    <n v="10"/>
    <x v="4"/>
    <x v="5"/>
    <x v="1"/>
    <x v="1"/>
    <x v="1"/>
    <n v="50"/>
    <x v="0"/>
    <x v="0"/>
    <x v="0"/>
    <x v="0"/>
    <n v="20"/>
    <x v="2"/>
    <x v="0"/>
    <n v="0"/>
    <x v="2"/>
    <x v="2"/>
    <n v="40"/>
  </r>
  <r>
    <x v="2"/>
    <x v="2"/>
    <n v="10"/>
    <x v="4"/>
    <x v="5"/>
    <x v="1"/>
    <x v="1"/>
    <x v="1"/>
    <n v="50"/>
    <x v="0"/>
    <x v="0"/>
    <x v="0"/>
    <x v="0"/>
    <n v="20"/>
    <x v="2"/>
    <x v="1"/>
    <n v="-40"/>
    <x v="1"/>
    <x v="0"/>
    <n v="-90"/>
  </r>
  <r>
    <x v="2"/>
    <x v="0"/>
    <n v="10"/>
    <x v="4"/>
    <x v="5"/>
    <x v="1"/>
    <x v="1"/>
    <x v="0"/>
    <n v="82"/>
    <x v="0"/>
    <x v="0"/>
    <x v="0"/>
    <x v="0"/>
    <n v="20"/>
    <x v="0"/>
    <x v="1"/>
    <n v="20"/>
    <x v="0"/>
    <x v="0"/>
    <n v="70"/>
  </r>
  <r>
    <x v="2"/>
    <x v="2"/>
    <n v="11"/>
    <x v="4"/>
    <x v="4"/>
    <x v="1"/>
    <x v="1"/>
    <x v="0"/>
    <n v="61"/>
    <x v="0"/>
    <x v="0"/>
    <x v="0"/>
    <x v="0"/>
    <n v="20"/>
    <x v="0"/>
    <x v="1"/>
    <n v="20"/>
    <x v="0"/>
    <x v="0"/>
    <n v="70"/>
  </r>
  <r>
    <x v="2"/>
    <x v="0"/>
    <n v="11"/>
    <x v="2"/>
    <x v="2"/>
    <x v="2"/>
    <x v="1"/>
    <x v="0"/>
    <m/>
    <x v="0"/>
    <x v="0"/>
    <x v="0"/>
    <x v="0"/>
    <n v="46"/>
    <x v="0"/>
    <x v="1"/>
    <n v="46"/>
    <x v="0"/>
    <x v="0"/>
    <n v="96"/>
  </r>
  <r>
    <x v="2"/>
    <x v="1"/>
    <n v="11"/>
    <x v="6"/>
    <x v="0"/>
    <x v="0"/>
    <x v="2"/>
    <x v="0"/>
    <n v="92"/>
    <x v="0"/>
    <x v="0"/>
    <x v="0"/>
    <x v="0"/>
    <n v="54"/>
    <x v="0"/>
    <x v="2"/>
    <n v="54"/>
    <x v="0"/>
    <x v="0"/>
    <n v="104"/>
  </r>
  <r>
    <x v="2"/>
    <x v="1"/>
    <n v="12"/>
    <x v="4"/>
    <x v="4"/>
    <x v="1"/>
    <x v="2"/>
    <x v="0"/>
    <n v="76"/>
    <x v="0"/>
    <x v="0"/>
    <x v="0"/>
    <x v="0"/>
    <n v="20"/>
    <x v="0"/>
    <x v="2"/>
    <n v="20"/>
    <x v="0"/>
    <x v="0"/>
    <n v="70"/>
  </r>
  <r>
    <x v="2"/>
    <x v="0"/>
    <n v="12"/>
    <x v="6"/>
    <x v="7"/>
    <x v="1"/>
    <x v="0"/>
    <x v="1"/>
    <n v="59"/>
    <x v="0"/>
    <x v="0"/>
    <x v="0"/>
    <x v="0"/>
    <n v="36"/>
    <x v="2"/>
    <x v="1"/>
    <n v="0"/>
    <x v="2"/>
    <x v="2"/>
    <n v="40"/>
  </r>
  <r>
    <x v="2"/>
    <x v="0"/>
    <n v="12"/>
    <x v="6"/>
    <x v="7"/>
    <x v="1"/>
    <x v="0"/>
    <x v="1"/>
    <n v="59"/>
    <x v="0"/>
    <x v="0"/>
    <x v="0"/>
    <x v="0"/>
    <n v="36"/>
    <x v="2"/>
    <x v="2"/>
    <n v="0"/>
    <x v="2"/>
    <x v="2"/>
    <n v="40"/>
  </r>
  <r>
    <x v="2"/>
    <x v="0"/>
    <n v="12"/>
    <x v="6"/>
    <x v="7"/>
    <x v="1"/>
    <x v="0"/>
    <x v="1"/>
    <n v="59"/>
    <x v="0"/>
    <x v="0"/>
    <x v="0"/>
    <x v="0"/>
    <n v="36"/>
    <x v="2"/>
    <x v="0"/>
    <n v="-72"/>
    <x v="1"/>
    <x v="0"/>
    <n v="-122"/>
  </r>
  <r>
    <x v="2"/>
    <x v="2"/>
    <n v="12"/>
    <x v="6"/>
    <x v="6"/>
    <x v="1"/>
    <x v="0"/>
    <x v="1"/>
    <n v="59"/>
    <x v="0"/>
    <x v="0"/>
    <x v="0"/>
    <x v="0"/>
    <n v="27"/>
    <x v="2"/>
    <x v="2"/>
    <n v="0"/>
    <x v="2"/>
    <x v="2"/>
    <n v="40"/>
  </r>
  <r>
    <x v="2"/>
    <x v="2"/>
    <n v="12"/>
    <x v="6"/>
    <x v="6"/>
    <x v="1"/>
    <x v="0"/>
    <x v="1"/>
    <n v="59"/>
    <x v="0"/>
    <x v="0"/>
    <x v="0"/>
    <x v="0"/>
    <n v="27"/>
    <x v="2"/>
    <x v="0"/>
    <n v="-54"/>
    <x v="1"/>
    <x v="0"/>
    <n v="-104"/>
  </r>
  <r>
    <x v="2"/>
    <x v="2"/>
    <n v="12"/>
    <x v="6"/>
    <x v="6"/>
    <x v="1"/>
    <x v="0"/>
    <x v="1"/>
    <n v="59"/>
    <x v="0"/>
    <x v="0"/>
    <x v="0"/>
    <x v="0"/>
    <n v="27"/>
    <x v="2"/>
    <x v="1"/>
    <n v="0"/>
    <x v="2"/>
    <x v="2"/>
    <n v="40"/>
  </r>
  <r>
    <x v="2"/>
    <x v="1"/>
    <n v="13"/>
    <x v="0"/>
    <x v="1"/>
    <x v="3"/>
    <x v="0"/>
    <x v="0"/>
    <n v="120"/>
    <x v="0"/>
    <x v="0"/>
    <x v="0"/>
    <x v="0"/>
    <n v="144"/>
    <x v="0"/>
    <x v="0"/>
    <n v="144"/>
    <x v="0"/>
    <x v="0"/>
    <n v="194"/>
  </r>
  <r>
    <x v="2"/>
    <x v="0"/>
    <n v="13"/>
    <x v="1"/>
    <x v="5"/>
    <x v="1"/>
    <x v="1"/>
    <x v="0"/>
    <n v="85"/>
    <x v="0"/>
    <x v="0"/>
    <x v="0"/>
    <x v="0"/>
    <n v="22"/>
    <x v="0"/>
    <x v="1"/>
    <n v="22"/>
    <x v="0"/>
    <x v="0"/>
    <n v="72"/>
  </r>
  <r>
    <x v="2"/>
    <x v="2"/>
    <n v="13"/>
    <x v="6"/>
    <x v="4"/>
    <x v="1"/>
    <x v="2"/>
    <x v="1"/>
    <n v="59"/>
    <x v="0"/>
    <x v="0"/>
    <x v="0"/>
    <x v="0"/>
    <n v="18"/>
    <x v="2"/>
    <x v="2"/>
    <n v="-36"/>
    <x v="1"/>
    <x v="0"/>
    <n v="-86"/>
  </r>
  <r>
    <x v="2"/>
    <x v="2"/>
    <n v="13"/>
    <x v="6"/>
    <x v="4"/>
    <x v="1"/>
    <x v="2"/>
    <x v="1"/>
    <n v="59"/>
    <x v="0"/>
    <x v="0"/>
    <x v="0"/>
    <x v="0"/>
    <n v="18"/>
    <x v="2"/>
    <x v="0"/>
    <n v="0"/>
    <x v="2"/>
    <x v="2"/>
    <n v="40"/>
  </r>
  <r>
    <x v="2"/>
    <x v="2"/>
    <n v="13"/>
    <x v="6"/>
    <x v="4"/>
    <x v="1"/>
    <x v="2"/>
    <x v="1"/>
    <n v="59"/>
    <x v="0"/>
    <x v="0"/>
    <x v="0"/>
    <x v="0"/>
    <n v="18"/>
    <x v="2"/>
    <x v="1"/>
    <n v="0"/>
    <x v="2"/>
    <x v="2"/>
    <n v="40"/>
  </r>
  <r>
    <x v="2"/>
    <x v="2"/>
    <n v="14"/>
    <x v="6"/>
    <x v="7"/>
    <x v="4"/>
    <x v="1"/>
    <x v="0"/>
    <n v="73"/>
    <x v="0"/>
    <x v="0"/>
    <x v="0"/>
    <x v="0"/>
    <n v="45"/>
    <x v="0"/>
    <x v="1"/>
    <n v="45"/>
    <x v="0"/>
    <x v="0"/>
    <n v="95"/>
  </r>
  <r>
    <x v="2"/>
    <x v="1"/>
    <n v="14"/>
    <x v="6"/>
    <x v="8"/>
    <x v="1"/>
    <x v="1"/>
    <x v="0"/>
    <n v="66"/>
    <x v="0"/>
    <x v="0"/>
    <x v="0"/>
    <x v="0"/>
    <n v="27"/>
    <x v="0"/>
    <x v="1"/>
    <n v="27"/>
    <x v="0"/>
    <x v="0"/>
    <n v="77"/>
  </r>
  <r>
    <x v="2"/>
    <x v="0"/>
    <n v="14"/>
    <x v="0"/>
    <x v="4"/>
    <x v="0"/>
    <x v="0"/>
    <x v="0"/>
    <n v="91"/>
    <x v="0"/>
    <x v="0"/>
    <x v="0"/>
    <x v="0"/>
    <n v="72"/>
    <x v="0"/>
    <x v="0"/>
    <n v="72"/>
    <x v="0"/>
    <x v="0"/>
    <n v="122"/>
  </r>
  <r>
    <x v="2"/>
    <x v="1"/>
    <n v="15"/>
    <x v="6"/>
    <x v="0"/>
    <x v="1"/>
    <x v="2"/>
    <x v="0"/>
    <n v="85"/>
    <x v="0"/>
    <x v="0"/>
    <x v="0"/>
    <x v="0"/>
    <n v="45"/>
    <x v="0"/>
    <x v="2"/>
    <n v="45"/>
    <x v="0"/>
    <x v="0"/>
    <n v="95"/>
  </r>
  <r>
    <x v="2"/>
    <x v="0"/>
    <n v="15"/>
    <x v="4"/>
    <x v="4"/>
    <x v="1"/>
    <x v="0"/>
    <x v="0"/>
    <n v="73"/>
    <x v="0"/>
    <x v="0"/>
    <x v="0"/>
    <x v="0"/>
    <n v="20"/>
    <x v="0"/>
    <x v="0"/>
    <n v="20"/>
    <x v="0"/>
    <x v="0"/>
    <n v="70"/>
  </r>
  <r>
    <x v="2"/>
    <x v="2"/>
    <n v="15"/>
    <x v="5"/>
    <x v="4"/>
    <x v="0"/>
    <x v="0"/>
    <x v="0"/>
    <n v="93"/>
    <x v="0"/>
    <x v="0"/>
    <x v="0"/>
    <x v="0"/>
    <n v="36"/>
    <x v="0"/>
    <x v="0"/>
    <n v="36"/>
    <x v="0"/>
    <x v="0"/>
    <n v="86"/>
  </r>
  <r>
    <x v="2"/>
    <x v="0"/>
    <n v="16"/>
    <x v="1"/>
    <x v="6"/>
    <x v="1"/>
    <x v="1"/>
    <x v="0"/>
    <n v="84"/>
    <x v="0"/>
    <x v="0"/>
    <x v="0"/>
    <x v="0"/>
    <n v="33"/>
    <x v="0"/>
    <x v="1"/>
    <n v="33"/>
    <x v="0"/>
    <x v="0"/>
    <n v="83"/>
  </r>
  <r>
    <x v="2"/>
    <x v="2"/>
    <n v="16"/>
    <x v="6"/>
    <x v="4"/>
    <x v="1"/>
    <x v="0"/>
    <x v="0"/>
    <n v="70"/>
    <x v="0"/>
    <x v="0"/>
    <x v="0"/>
    <x v="0"/>
    <n v="18"/>
    <x v="0"/>
    <x v="0"/>
    <n v="18"/>
    <x v="0"/>
    <x v="0"/>
    <n v="68"/>
  </r>
  <r>
    <x v="2"/>
    <x v="1"/>
    <n v="16"/>
    <x v="1"/>
    <x v="4"/>
    <x v="1"/>
    <x v="2"/>
    <x v="0"/>
    <n v="76"/>
    <x v="0"/>
    <x v="0"/>
    <x v="0"/>
    <x v="0"/>
    <n v="22"/>
    <x v="0"/>
    <x v="2"/>
    <n v="22"/>
    <x v="0"/>
    <x v="0"/>
    <n v="72"/>
  </r>
  <r>
    <x v="2"/>
    <x v="2"/>
    <n v="17"/>
    <x v="5"/>
    <x v="5"/>
    <x v="0"/>
    <x v="0"/>
    <x v="0"/>
    <n v="100"/>
    <x v="0"/>
    <x v="0"/>
    <x v="0"/>
    <x v="0"/>
    <n v="36"/>
    <x v="0"/>
    <x v="0"/>
    <n v="36"/>
    <x v="0"/>
    <x v="0"/>
    <n v="86"/>
  </r>
  <r>
    <x v="2"/>
    <x v="0"/>
    <n v="17"/>
    <x v="1"/>
    <x v="4"/>
    <x v="1"/>
    <x v="0"/>
    <x v="0"/>
    <n v="87"/>
    <x v="0"/>
    <x v="0"/>
    <x v="0"/>
    <x v="0"/>
    <n v="22"/>
    <x v="0"/>
    <x v="0"/>
    <n v="22"/>
    <x v="0"/>
    <x v="0"/>
    <n v="72"/>
  </r>
  <r>
    <x v="2"/>
    <x v="1"/>
    <n v="17"/>
    <x v="1"/>
    <x v="5"/>
    <x v="1"/>
    <x v="0"/>
    <x v="1"/>
    <n v="54"/>
    <x v="0"/>
    <x v="0"/>
    <x v="0"/>
    <x v="0"/>
    <n v="22"/>
    <x v="2"/>
    <x v="2"/>
    <n v="0"/>
    <x v="2"/>
    <x v="2"/>
    <n v="40"/>
  </r>
  <r>
    <x v="2"/>
    <x v="1"/>
    <n v="17"/>
    <x v="1"/>
    <x v="5"/>
    <x v="1"/>
    <x v="0"/>
    <x v="1"/>
    <n v="54"/>
    <x v="0"/>
    <x v="0"/>
    <x v="0"/>
    <x v="0"/>
    <n v="22"/>
    <x v="2"/>
    <x v="1"/>
    <n v="0"/>
    <x v="2"/>
    <x v="2"/>
    <n v="40"/>
  </r>
  <r>
    <x v="2"/>
    <x v="1"/>
    <n v="17"/>
    <x v="1"/>
    <x v="5"/>
    <x v="1"/>
    <x v="0"/>
    <x v="1"/>
    <n v="54"/>
    <x v="0"/>
    <x v="0"/>
    <x v="0"/>
    <x v="0"/>
    <n v="22"/>
    <x v="2"/>
    <x v="0"/>
    <n v="-44"/>
    <x v="1"/>
    <x v="0"/>
    <n v="-94"/>
  </r>
  <r>
    <x v="2"/>
    <x v="0"/>
    <n v="18"/>
    <x v="2"/>
    <x v="2"/>
    <x v="1"/>
    <x v="0"/>
    <x v="0"/>
    <m/>
    <x v="0"/>
    <x v="0"/>
    <x v="0"/>
    <x v="0"/>
    <n v="23"/>
    <x v="0"/>
    <x v="0"/>
    <n v="23"/>
    <x v="0"/>
    <x v="0"/>
    <n v="73"/>
  </r>
  <r>
    <x v="2"/>
    <x v="1"/>
    <n v="18"/>
    <x v="4"/>
    <x v="4"/>
    <x v="1"/>
    <x v="1"/>
    <x v="0"/>
    <n v="87"/>
    <x v="0"/>
    <x v="0"/>
    <x v="0"/>
    <x v="0"/>
    <n v="20"/>
    <x v="0"/>
    <x v="1"/>
    <n v="20"/>
    <x v="0"/>
    <x v="0"/>
    <n v="70"/>
  </r>
  <r>
    <x v="2"/>
    <x v="2"/>
    <n v="18"/>
    <x v="1"/>
    <x v="5"/>
    <x v="1"/>
    <x v="0"/>
    <x v="1"/>
    <n v="59"/>
    <x v="0"/>
    <x v="0"/>
    <x v="0"/>
    <x v="0"/>
    <n v="22"/>
    <x v="2"/>
    <x v="2"/>
    <n v="0"/>
    <x v="2"/>
    <x v="2"/>
    <n v="40"/>
  </r>
  <r>
    <x v="2"/>
    <x v="2"/>
    <n v="18"/>
    <x v="1"/>
    <x v="5"/>
    <x v="1"/>
    <x v="0"/>
    <x v="1"/>
    <n v="59"/>
    <x v="0"/>
    <x v="0"/>
    <x v="0"/>
    <x v="0"/>
    <n v="22"/>
    <x v="2"/>
    <x v="0"/>
    <n v="-44"/>
    <x v="1"/>
    <x v="0"/>
    <n v="-94"/>
  </r>
  <r>
    <x v="2"/>
    <x v="2"/>
    <n v="18"/>
    <x v="1"/>
    <x v="5"/>
    <x v="1"/>
    <x v="0"/>
    <x v="1"/>
    <n v="59"/>
    <x v="0"/>
    <x v="0"/>
    <x v="0"/>
    <x v="0"/>
    <n v="22"/>
    <x v="2"/>
    <x v="1"/>
    <n v="0"/>
    <x v="2"/>
    <x v="2"/>
    <n v="40"/>
  </r>
  <r>
    <x v="2"/>
    <x v="0"/>
    <n v="19"/>
    <x v="4"/>
    <x v="5"/>
    <x v="1"/>
    <x v="1"/>
    <x v="0"/>
    <n v="73"/>
    <x v="0"/>
    <x v="0"/>
    <x v="0"/>
    <x v="0"/>
    <n v="20"/>
    <x v="0"/>
    <x v="1"/>
    <n v="20"/>
    <x v="0"/>
    <x v="0"/>
    <n v="70"/>
  </r>
  <r>
    <x v="2"/>
    <x v="0"/>
    <n v="20"/>
    <x v="1"/>
    <x v="8"/>
    <x v="0"/>
    <x v="2"/>
    <x v="0"/>
    <n v="97"/>
    <x v="0"/>
    <x v="0"/>
    <x v="0"/>
    <x v="0"/>
    <n v="44"/>
    <x v="0"/>
    <x v="2"/>
    <n v="44"/>
    <x v="0"/>
    <x v="0"/>
    <n v="94"/>
  </r>
  <r>
    <x v="2"/>
    <x v="0"/>
    <n v="21"/>
    <x v="1"/>
    <x v="4"/>
    <x v="1"/>
    <x v="2"/>
    <x v="0"/>
    <n v="61"/>
    <x v="0"/>
    <x v="0"/>
    <x v="0"/>
    <x v="0"/>
    <n v="22"/>
    <x v="0"/>
    <x v="2"/>
    <n v="22"/>
    <x v="0"/>
    <x v="0"/>
    <n v="72"/>
  </r>
  <r>
    <x v="2"/>
    <x v="0"/>
    <n v="22"/>
    <x v="1"/>
    <x v="4"/>
    <x v="1"/>
    <x v="0"/>
    <x v="0"/>
    <n v="68"/>
    <x v="0"/>
    <x v="0"/>
    <x v="0"/>
    <x v="0"/>
    <n v="22"/>
    <x v="0"/>
    <x v="0"/>
    <n v="22"/>
    <x v="0"/>
    <x v="0"/>
    <n v="72"/>
  </r>
  <r>
    <x v="2"/>
    <x v="0"/>
    <n v="23"/>
    <x v="6"/>
    <x v="6"/>
    <x v="0"/>
    <x v="1"/>
    <x v="0"/>
    <n v="101"/>
    <x v="0"/>
    <x v="0"/>
    <x v="0"/>
    <x v="0"/>
    <n v="36"/>
    <x v="0"/>
    <x v="1"/>
    <n v="36"/>
    <x v="0"/>
    <x v="0"/>
    <n v="86"/>
  </r>
  <r>
    <x v="2"/>
    <x v="0"/>
    <n v="24"/>
    <x v="2"/>
    <x v="2"/>
    <x v="1"/>
    <x v="1"/>
    <x v="0"/>
    <m/>
    <x v="0"/>
    <x v="0"/>
    <x v="0"/>
    <x v="0"/>
    <n v="23"/>
    <x v="0"/>
    <x v="1"/>
    <n v="23"/>
    <x v="0"/>
    <x v="0"/>
    <n v="73"/>
  </r>
  <r>
    <x v="2"/>
    <x v="0"/>
    <n v="25"/>
    <x v="2"/>
    <x v="2"/>
    <x v="1"/>
    <x v="2"/>
    <x v="1"/>
    <m/>
    <x v="0"/>
    <x v="0"/>
    <x v="0"/>
    <x v="0"/>
    <n v="23"/>
    <x v="2"/>
    <x v="1"/>
    <n v="0"/>
    <x v="2"/>
    <x v="2"/>
    <n v="40"/>
  </r>
  <r>
    <x v="2"/>
    <x v="0"/>
    <n v="25"/>
    <x v="2"/>
    <x v="2"/>
    <x v="1"/>
    <x v="2"/>
    <x v="1"/>
    <m/>
    <x v="0"/>
    <x v="0"/>
    <x v="0"/>
    <x v="0"/>
    <n v="23"/>
    <x v="2"/>
    <x v="2"/>
    <n v="-46"/>
    <x v="1"/>
    <x v="0"/>
    <n v="-96"/>
  </r>
  <r>
    <x v="2"/>
    <x v="0"/>
    <n v="25"/>
    <x v="2"/>
    <x v="2"/>
    <x v="1"/>
    <x v="2"/>
    <x v="1"/>
    <m/>
    <x v="0"/>
    <x v="0"/>
    <x v="0"/>
    <x v="0"/>
    <n v="23"/>
    <x v="2"/>
    <x v="0"/>
    <n v="0"/>
    <x v="2"/>
    <x v="2"/>
    <n v="40"/>
  </r>
  <r>
    <x v="2"/>
    <x v="0"/>
    <n v="26"/>
    <x v="4"/>
    <x v="6"/>
    <x v="1"/>
    <x v="0"/>
    <x v="1"/>
    <n v="32"/>
    <x v="0"/>
    <x v="0"/>
    <x v="0"/>
    <x v="0"/>
    <n v="30"/>
    <x v="2"/>
    <x v="1"/>
    <n v="0"/>
    <x v="2"/>
    <x v="2"/>
    <n v="40"/>
  </r>
  <r>
    <x v="2"/>
    <x v="0"/>
    <n v="26"/>
    <x v="4"/>
    <x v="6"/>
    <x v="1"/>
    <x v="0"/>
    <x v="1"/>
    <n v="32"/>
    <x v="0"/>
    <x v="0"/>
    <x v="0"/>
    <x v="0"/>
    <n v="30"/>
    <x v="2"/>
    <x v="2"/>
    <n v="0"/>
    <x v="2"/>
    <x v="2"/>
    <n v="40"/>
  </r>
  <r>
    <x v="2"/>
    <x v="0"/>
    <n v="26"/>
    <x v="4"/>
    <x v="6"/>
    <x v="1"/>
    <x v="0"/>
    <x v="1"/>
    <n v="32"/>
    <x v="0"/>
    <x v="0"/>
    <x v="0"/>
    <x v="0"/>
    <n v="30"/>
    <x v="2"/>
    <x v="0"/>
    <n v="-60"/>
    <x v="1"/>
    <x v="0"/>
    <n v="-110"/>
  </r>
  <r>
    <x v="2"/>
    <x v="0"/>
    <n v="27"/>
    <x v="5"/>
    <x v="0"/>
    <x v="1"/>
    <x v="0"/>
    <x v="0"/>
    <n v="69"/>
    <x v="0"/>
    <x v="0"/>
    <x v="0"/>
    <x v="0"/>
    <n v="60"/>
    <x v="0"/>
    <x v="0"/>
    <n v="60"/>
    <x v="0"/>
    <x v="0"/>
    <n v="110"/>
  </r>
  <r>
    <x v="2"/>
    <x v="0"/>
    <n v="28"/>
    <x v="5"/>
    <x v="5"/>
    <x v="1"/>
    <x v="0"/>
    <x v="0"/>
    <n v="66"/>
    <x v="0"/>
    <x v="0"/>
    <x v="0"/>
    <x v="0"/>
    <n v="24"/>
    <x v="0"/>
    <x v="0"/>
    <n v="24"/>
    <x v="0"/>
    <x v="0"/>
    <n v="74"/>
  </r>
  <r>
    <x v="2"/>
    <x v="0"/>
    <n v="29"/>
    <x v="0"/>
    <x v="1"/>
    <x v="1"/>
    <x v="1"/>
    <x v="0"/>
    <n v="72"/>
    <x v="0"/>
    <x v="0"/>
    <x v="0"/>
    <x v="0"/>
    <n v="96"/>
    <x v="0"/>
    <x v="1"/>
    <n v="96"/>
    <x v="0"/>
    <x v="0"/>
    <n v="146"/>
  </r>
  <r>
    <x v="2"/>
    <x v="0"/>
    <n v="30"/>
    <x v="5"/>
    <x v="7"/>
    <x v="0"/>
    <x v="0"/>
    <x v="0"/>
    <n v="94"/>
    <x v="0"/>
    <x v="0"/>
    <x v="0"/>
    <x v="0"/>
    <n v="60"/>
    <x v="0"/>
    <x v="0"/>
    <n v="60"/>
    <x v="0"/>
    <x v="0"/>
    <n v="110"/>
  </r>
  <r>
    <x v="2"/>
    <x v="0"/>
    <n v="31"/>
    <x v="6"/>
    <x v="5"/>
    <x v="1"/>
    <x v="0"/>
    <x v="0"/>
    <n v="64"/>
    <x v="0"/>
    <x v="0"/>
    <x v="0"/>
    <x v="0"/>
    <n v="18"/>
    <x v="0"/>
    <x v="0"/>
    <n v="18"/>
    <x v="0"/>
    <x v="0"/>
    <n v="68"/>
  </r>
  <r>
    <x v="2"/>
    <x v="0"/>
    <n v="32"/>
    <x v="1"/>
    <x v="7"/>
    <x v="1"/>
    <x v="2"/>
    <x v="1"/>
    <n v="54"/>
    <x v="0"/>
    <x v="0"/>
    <x v="0"/>
    <x v="0"/>
    <n v="44"/>
    <x v="2"/>
    <x v="1"/>
    <n v="0"/>
    <x v="2"/>
    <x v="2"/>
    <n v="40"/>
  </r>
  <r>
    <x v="2"/>
    <x v="0"/>
    <n v="32"/>
    <x v="1"/>
    <x v="7"/>
    <x v="1"/>
    <x v="2"/>
    <x v="1"/>
    <n v="54"/>
    <x v="0"/>
    <x v="0"/>
    <x v="0"/>
    <x v="0"/>
    <n v="44"/>
    <x v="2"/>
    <x v="2"/>
    <n v="-88"/>
    <x v="1"/>
    <x v="0"/>
    <n v="-138"/>
  </r>
  <r>
    <x v="2"/>
    <x v="0"/>
    <n v="32"/>
    <x v="1"/>
    <x v="7"/>
    <x v="1"/>
    <x v="2"/>
    <x v="1"/>
    <n v="54"/>
    <x v="0"/>
    <x v="0"/>
    <x v="0"/>
    <x v="0"/>
    <n v="44"/>
    <x v="2"/>
    <x v="0"/>
    <n v="0"/>
    <x v="2"/>
    <x v="2"/>
    <n v="40"/>
  </r>
  <r>
    <x v="2"/>
    <x v="0"/>
    <n v="33"/>
    <x v="0"/>
    <x v="6"/>
    <x v="0"/>
    <x v="2"/>
    <x v="0"/>
    <n v="106"/>
    <x v="0"/>
    <x v="0"/>
    <x v="0"/>
    <x v="0"/>
    <n v="96"/>
    <x v="0"/>
    <x v="2"/>
    <n v="96"/>
    <x v="0"/>
    <x v="0"/>
    <n v="146"/>
  </r>
  <r>
    <x v="2"/>
    <x v="0"/>
    <n v="34"/>
    <x v="6"/>
    <x v="5"/>
    <x v="1"/>
    <x v="0"/>
    <x v="0"/>
    <n v="68"/>
    <x v="0"/>
    <x v="0"/>
    <x v="0"/>
    <x v="0"/>
    <n v="18"/>
    <x v="0"/>
    <x v="0"/>
    <n v="18"/>
    <x v="0"/>
    <x v="0"/>
    <n v="68"/>
  </r>
  <r>
    <x v="2"/>
    <x v="0"/>
    <n v="35"/>
    <x v="5"/>
    <x v="4"/>
    <x v="1"/>
    <x v="2"/>
    <x v="0"/>
    <n v="72"/>
    <x v="0"/>
    <x v="0"/>
    <x v="0"/>
    <x v="0"/>
    <n v="24"/>
    <x v="0"/>
    <x v="2"/>
    <n v="24"/>
    <x v="0"/>
    <x v="0"/>
    <n v="74"/>
  </r>
  <r>
    <x v="2"/>
    <x v="0"/>
    <n v="36"/>
    <x v="2"/>
    <x v="2"/>
    <x v="1"/>
    <x v="2"/>
    <x v="0"/>
    <m/>
    <x v="0"/>
    <x v="0"/>
    <x v="0"/>
    <x v="0"/>
    <n v="23"/>
    <x v="0"/>
    <x v="2"/>
    <n v="23"/>
    <x v="0"/>
    <x v="0"/>
    <n v="73"/>
  </r>
  <r>
    <x v="3"/>
    <x v="0"/>
    <n v="1"/>
    <x v="5"/>
    <x v="4"/>
    <x v="1"/>
    <x v="1"/>
    <x v="0"/>
    <n v="74"/>
    <x v="0"/>
    <x v="0"/>
    <x v="0"/>
    <x v="0"/>
    <n v="24"/>
    <x v="0"/>
    <x v="1"/>
    <n v="24"/>
    <x v="0"/>
    <x v="0"/>
    <n v="74"/>
  </r>
  <r>
    <x v="3"/>
    <x v="0"/>
    <n v="2"/>
    <x v="1"/>
    <x v="8"/>
    <x v="1"/>
    <x v="1"/>
    <x v="1"/>
    <n v="45"/>
    <x v="0"/>
    <x v="0"/>
    <x v="0"/>
    <x v="0"/>
    <n v="33"/>
    <x v="2"/>
    <x v="1"/>
    <n v="-66"/>
    <x v="1"/>
    <x v="0"/>
    <n v="-116"/>
  </r>
  <r>
    <x v="3"/>
    <x v="0"/>
    <n v="2"/>
    <x v="1"/>
    <x v="8"/>
    <x v="1"/>
    <x v="1"/>
    <x v="1"/>
    <n v="45"/>
    <x v="0"/>
    <x v="0"/>
    <x v="0"/>
    <x v="0"/>
    <n v="33"/>
    <x v="2"/>
    <x v="2"/>
    <n v="0"/>
    <x v="2"/>
    <x v="2"/>
    <n v="40"/>
  </r>
  <r>
    <x v="3"/>
    <x v="0"/>
    <n v="2"/>
    <x v="1"/>
    <x v="8"/>
    <x v="1"/>
    <x v="1"/>
    <x v="1"/>
    <n v="45"/>
    <x v="0"/>
    <x v="0"/>
    <x v="0"/>
    <x v="0"/>
    <n v="33"/>
    <x v="2"/>
    <x v="0"/>
    <n v="0"/>
    <x v="2"/>
    <x v="2"/>
    <n v="40"/>
  </r>
  <r>
    <x v="3"/>
    <x v="0"/>
    <n v="3"/>
    <x v="6"/>
    <x v="5"/>
    <x v="1"/>
    <x v="1"/>
    <x v="0"/>
    <n v="77"/>
    <x v="0"/>
    <x v="0"/>
    <x v="0"/>
    <x v="0"/>
    <n v="18"/>
    <x v="0"/>
    <x v="1"/>
    <n v="18"/>
    <x v="0"/>
    <x v="0"/>
    <n v="68"/>
  </r>
  <r>
    <x v="3"/>
    <x v="0"/>
    <n v="4"/>
    <x v="1"/>
    <x v="4"/>
    <x v="1"/>
    <x v="1"/>
    <x v="0"/>
    <n v="76"/>
    <x v="0"/>
    <x v="0"/>
    <x v="0"/>
    <x v="0"/>
    <n v="22"/>
    <x v="0"/>
    <x v="1"/>
    <n v="22"/>
    <x v="0"/>
    <x v="0"/>
    <n v="72"/>
  </r>
  <r>
    <x v="3"/>
    <x v="0"/>
    <n v="5"/>
    <x v="4"/>
    <x v="4"/>
    <x v="1"/>
    <x v="2"/>
    <x v="1"/>
    <n v="50"/>
    <x v="0"/>
    <x v="0"/>
    <x v="0"/>
    <x v="0"/>
    <n v="20"/>
    <x v="2"/>
    <x v="1"/>
    <n v="0"/>
    <x v="2"/>
    <x v="2"/>
    <n v="40"/>
  </r>
  <r>
    <x v="3"/>
    <x v="0"/>
    <n v="5"/>
    <x v="4"/>
    <x v="4"/>
    <x v="1"/>
    <x v="2"/>
    <x v="1"/>
    <n v="50"/>
    <x v="0"/>
    <x v="0"/>
    <x v="0"/>
    <x v="0"/>
    <n v="20"/>
    <x v="2"/>
    <x v="2"/>
    <n v="-40"/>
    <x v="1"/>
    <x v="0"/>
    <n v="-90"/>
  </r>
  <r>
    <x v="3"/>
    <x v="0"/>
    <n v="5"/>
    <x v="4"/>
    <x v="4"/>
    <x v="1"/>
    <x v="2"/>
    <x v="1"/>
    <n v="50"/>
    <x v="0"/>
    <x v="0"/>
    <x v="0"/>
    <x v="0"/>
    <n v="20"/>
    <x v="2"/>
    <x v="0"/>
    <n v="0"/>
    <x v="2"/>
    <x v="2"/>
    <n v="40"/>
  </r>
  <r>
    <x v="3"/>
    <x v="0"/>
    <n v="6"/>
    <x v="1"/>
    <x v="8"/>
    <x v="1"/>
    <x v="0"/>
    <x v="0"/>
    <n v="65"/>
    <x v="0"/>
    <x v="0"/>
    <x v="0"/>
    <x v="0"/>
    <n v="33"/>
    <x v="0"/>
    <x v="0"/>
    <n v="33"/>
    <x v="0"/>
    <x v="0"/>
    <n v="83"/>
  </r>
  <r>
    <x v="3"/>
    <x v="0"/>
    <n v="7"/>
    <x v="1"/>
    <x v="6"/>
    <x v="0"/>
    <x v="2"/>
    <x v="0"/>
    <n v="97"/>
    <x v="0"/>
    <x v="0"/>
    <x v="0"/>
    <x v="0"/>
    <n v="44"/>
    <x v="0"/>
    <x v="2"/>
    <n v="44"/>
    <x v="0"/>
    <x v="0"/>
    <n v="94"/>
  </r>
  <r>
    <x v="3"/>
    <x v="0"/>
    <n v="8"/>
    <x v="0"/>
    <x v="4"/>
    <x v="0"/>
    <x v="0"/>
    <x v="0"/>
    <n v="193"/>
    <x v="0"/>
    <x v="0"/>
    <x v="0"/>
    <x v="0"/>
    <n v="72"/>
    <x v="0"/>
    <x v="0"/>
    <n v="72"/>
    <x v="0"/>
    <x v="0"/>
    <n v="122"/>
  </r>
  <r>
    <x v="3"/>
    <x v="0"/>
    <n v="9"/>
    <x v="4"/>
    <x v="6"/>
    <x v="1"/>
    <x v="0"/>
    <x v="0"/>
    <n v="63"/>
    <x v="0"/>
    <x v="0"/>
    <x v="0"/>
    <x v="0"/>
    <n v="30"/>
    <x v="0"/>
    <x v="0"/>
    <n v="30"/>
    <x v="0"/>
    <x v="0"/>
    <n v="80"/>
  </r>
  <r>
    <x v="3"/>
    <x v="0"/>
    <n v="10"/>
    <x v="1"/>
    <x v="4"/>
    <x v="1"/>
    <x v="0"/>
    <x v="0"/>
    <n v="63"/>
    <x v="0"/>
    <x v="0"/>
    <x v="0"/>
    <x v="0"/>
    <n v="22"/>
    <x v="0"/>
    <x v="0"/>
    <n v="22"/>
    <x v="0"/>
    <x v="0"/>
    <n v="72"/>
  </r>
  <r>
    <x v="3"/>
    <x v="0"/>
    <n v="11"/>
    <x v="5"/>
    <x v="0"/>
    <x v="1"/>
    <x v="1"/>
    <x v="0"/>
    <n v="75"/>
    <x v="0"/>
    <x v="0"/>
    <x v="0"/>
    <x v="0"/>
    <n v="60"/>
    <x v="0"/>
    <x v="1"/>
    <n v="60"/>
    <x v="0"/>
    <x v="0"/>
    <n v="110"/>
  </r>
  <r>
    <x v="3"/>
    <x v="0"/>
    <n v="12"/>
    <x v="1"/>
    <x v="4"/>
    <x v="1"/>
    <x v="1"/>
    <x v="0"/>
    <n v="67"/>
    <x v="0"/>
    <x v="0"/>
    <x v="0"/>
    <x v="0"/>
    <n v="22"/>
    <x v="0"/>
    <x v="1"/>
    <n v="22"/>
    <x v="0"/>
    <x v="0"/>
    <n v="72"/>
  </r>
  <r>
    <x v="3"/>
    <x v="0"/>
    <n v="13"/>
    <x v="4"/>
    <x v="4"/>
    <x v="1"/>
    <x v="2"/>
    <x v="0"/>
    <n v="67"/>
    <x v="0"/>
    <x v="0"/>
    <x v="0"/>
    <x v="0"/>
    <n v="20"/>
    <x v="0"/>
    <x v="2"/>
    <n v="20"/>
    <x v="0"/>
    <x v="0"/>
    <n v="70"/>
  </r>
  <r>
    <x v="3"/>
    <x v="0"/>
    <n v="14"/>
    <x v="5"/>
    <x v="7"/>
    <x v="1"/>
    <x v="2"/>
    <x v="0"/>
    <n v="84"/>
    <x v="0"/>
    <x v="0"/>
    <x v="0"/>
    <x v="0"/>
    <n v="48"/>
    <x v="0"/>
    <x v="2"/>
    <n v="48"/>
    <x v="0"/>
    <x v="0"/>
    <n v="98"/>
  </r>
  <r>
    <x v="3"/>
    <x v="0"/>
    <n v="15"/>
    <x v="0"/>
    <x v="0"/>
    <x v="0"/>
    <x v="1"/>
    <x v="0"/>
    <n v="110"/>
    <x v="0"/>
    <x v="0"/>
    <x v="0"/>
    <x v="0"/>
    <n v="144"/>
    <x v="0"/>
    <x v="1"/>
    <n v="144"/>
    <x v="0"/>
    <x v="0"/>
    <n v="194"/>
  </r>
  <r>
    <x v="3"/>
    <x v="0"/>
    <n v="16"/>
    <x v="6"/>
    <x v="4"/>
    <x v="4"/>
    <x v="1"/>
    <x v="0"/>
    <n v="86"/>
    <x v="0"/>
    <x v="0"/>
    <x v="0"/>
    <x v="0"/>
    <n v="27"/>
    <x v="0"/>
    <x v="1"/>
    <n v="27"/>
    <x v="0"/>
    <x v="0"/>
    <n v="77"/>
  </r>
  <r>
    <x v="3"/>
    <x v="0"/>
    <n v="17"/>
    <x v="0"/>
    <x v="4"/>
    <x v="1"/>
    <x v="0"/>
    <x v="0"/>
    <n v="83"/>
    <x v="0"/>
    <x v="0"/>
    <x v="0"/>
    <x v="0"/>
    <n v="48"/>
    <x v="0"/>
    <x v="0"/>
    <n v="48"/>
    <x v="0"/>
    <x v="0"/>
    <n v="98"/>
  </r>
  <r>
    <x v="3"/>
    <x v="0"/>
    <n v="18"/>
    <x v="0"/>
    <x v="1"/>
    <x v="0"/>
    <x v="2"/>
    <x v="0"/>
    <n v="93"/>
    <x v="0"/>
    <x v="0"/>
    <x v="0"/>
    <x v="0"/>
    <n v="120"/>
    <x v="0"/>
    <x v="2"/>
    <n v="120"/>
    <x v="0"/>
    <x v="0"/>
    <n v="170"/>
  </r>
  <r>
    <x v="3"/>
    <x v="0"/>
    <n v="19"/>
    <x v="3"/>
    <x v="2"/>
    <x v="1"/>
    <x v="0"/>
    <x v="1"/>
    <n v="77"/>
    <x v="0"/>
    <x v="0"/>
    <x v="0"/>
    <x v="0"/>
    <n v="77"/>
    <x v="1"/>
    <x v="1"/>
    <n v="0"/>
    <x v="2"/>
    <x v="1"/>
    <n v="40"/>
  </r>
  <r>
    <x v="3"/>
    <x v="0"/>
    <n v="19"/>
    <x v="3"/>
    <x v="2"/>
    <x v="1"/>
    <x v="0"/>
    <x v="1"/>
    <n v="77"/>
    <x v="0"/>
    <x v="0"/>
    <x v="0"/>
    <x v="0"/>
    <n v="77"/>
    <x v="1"/>
    <x v="2"/>
    <n v="0"/>
    <x v="2"/>
    <x v="1"/>
    <n v="40"/>
  </r>
  <r>
    <x v="3"/>
    <x v="0"/>
    <n v="19"/>
    <x v="3"/>
    <x v="2"/>
    <x v="1"/>
    <x v="0"/>
    <x v="1"/>
    <n v="77"/>
    <x v="0"/>
    <x v="0"/>
    <x v="0"/>
    <x v="0"/>
    <n v="77"/>
    <x v="1"/>
    <x v="0"/>
    <n v="-77"/>
    <x v="1"/>
    <x v="1"/>
    <n v="-127"/>
  </r>
  <r>
    <x v="3"/>
    <x v="0"/>
    <n v="20"/>
    <x v="0"/>
    <x v="1"/>
    <x v="0"/>
    <x v="0"/>
    <x v="0"/>
    <n v="102"/>
    <x v="0"/>
    <x v="0"/>
    <x v="0"/>
    <x v="0"/>
    <n v="120"/>
    <x v="0"/>
    <x v="0"/>
    <n v="120"/>
    <x v="0"/>
    <x v="0"/>
    <n v="170"/>
  </r>
  <r>
    <x v="3"/>
    <x v="0"/>
    <n v="21"/>
    <x v="1"/>
    <x v="6"/>
    <x v="1"/>
    <x v="0"/>
    <x v="1"/>
    <n v="31"/>
    <x v="0"/>
    <x v="0"/>
    <x v="0"/>
    <x v="0"/>
    <n v="33"/>
    <x v="2"/>
    <x v="1"/>
    <n v="0"/>
    <x v="2"/>
    <x v="2"/>
    <n v="40"/>
  </r>
  <r>
    <x v="3"/>
    <x v="0"/>
    <n v="21"/>
    <x v="1"/>
    <x v="6"/>
    <x v="1"/>
    <x v="0"/>
    <x v="1"/>
    <n v="31"/>
    <x v="0"/>
    <x v="0"/>
    <x v="0"/>
    <x v="0"/>
    <n v="33"/>
    <x v="2"/>
    <x v="2"/>
    <n v="0"/>
    <x v="2"/>
    <x v="2"/>
    <n v="40"/>
  </r>
  <r>
    <x v="3"/>
    <x v="0"/>
    <n v="21"/>
    <x v="1"/>
    <x v="6"/>
    <x v="1"/>
    <x v="0"/>
    <x v="1"/>
    <n v="31"/>
    <x v="0"/>
    <x v="0"/>
    <x v="0"/>
    <x v="0"/>
    <n v="33"/>
    <x v="2"/>
    <x v="0"/>
    <n v="-66"/>
    <x v="1"/>
    <x v="0"/>
    <n v="-116"/>
  </r>
  <r>
    <x v="3"/>
    <x v="0"/>
    <n v="22"/>
    <x v="2"/>
    <x v="2"/>
    <x v="1"/>
    <x v="0"/>
    <x v="1"/>
    <m/>
    <x v="0"/>
    <x v="0"/>
    <x v="0"/>
    <x v="0"/>
    <n v="23"/>
    <x v="2"/>
    <x v="1"/>
    <n v="0"/>
    <x v="2"/>
    <x v="2"/>
    <n v="40"/>
  </r>
  <r>
    <x v="3"/>
    <x v="0"/>
    <n v="22"/>
    <x v="2"/>
    <x v="2"/>
    <x v="1"/>
    <x v="0"/>
    <x v="1"/>
    <m/>
    <x v="0"/>
    <x v="0"/>
    <x v="0"/>
    <x v="0"/>
    <n v="23"/>
    <x v="2"/>
    <x v="2"/>
    <n v="0"/>
    <x v="2"/>
    <x v="2"/>
    <n v="40"/>
  </r>
  <r>
    <x v="3"/>
    <x v="0"/>
    <n v="22"/>
    <x v="2"/>
    <x v="2"/>
    <x v="1"/>
    <x v="0"/>
    <x v="1"/>
    <m/>
    <x v="0"/>
    <x v="0"/>
    <x v="0"/>
    <x v="0"/>
    <n v="23"/>
    <x v="2"/>
    <x v="0"/>
    <n v="-46"/>
    <x v="1"/>
    <x v="0"/>
    <n v="-96"/>
  </r>
  <r>
    <x v="3"/>
    <x v="0"/>
    <n v="23"/>
    <x v="0"/>
    <x v="0"/>
    <x v="5"/>
    <x v="0"/>
    <x v="0"/>
    <n v="106"/>
    <x v="0"/>
    <x v="0"/>
    <x v="0"/>
    <x v="0"/>
    <n v="168"/>
    <x v="0"/>
    <x v="0"/>
    <n v="168"/>
    <x v="0"/>
    <x v="0"/>
    <n v="218"/>
  </r>
  <r>
    <x v="3"/>
    <x v="0"/>
    <n v="24"/>
    <x v="0"/>
    <x v="5"/>
    <x v="1"/>
    <x v="0"/>
    <x v="0"/>
    <n v="78"/>
    <x v="0"/>
    <x v="0"/>
    <x v="0"/>
    <x v="0"/>
    <n v="48"/>
    <x v="0"/>
    <x v="0"/>
    <n v="48"/>
    <x v="0"/>
    <x v="0"/>
    <n v="98"/>
  </r>
  <r>
    <x v="3"/>
    <x v="0"/>
    <n v="25"/>
    <x v="5"/>
    <x v="4"/>
    <x v="1"/>
    <x v="0"/>
    <x v="0"/>
    <n v="61"/>
    <x v="0"/>
    <x v="0"/>
    <x v="0"/>
    <x v="0"/>
    <n v="24"/>
    <x v="0"/>
    <x v="0"/>
    <n v="24"/>
    <x v="0"/>
    <x v="0"/>
    <n v="74"/>
  </r>
  <r>
    <x v="3"/>
    <x v="0"/>
    <n v="26"/>
    <x v="0"/>
    <x v="4"/>
    <x v="0"/>
    <x v="2"/>
    <x v="0"/>
    <n v="105"/>
    <x v="0"/>
    <x v="0"/>
    <x v="0"/>
    <x v="0"/>
    <n v="72"/>
    <x v="0"/>
    <x v="2"/>
    <n v="72"/>
    <x v="0"/>
    <x v="0"/>
    <n v="122"/>
  </r>
  <r>
    <x v="3"/>
    <x v="0"/>
    <n v="27"/>
    <x v="2"/>
    <x v="2"/>
    <x v="4"/>
    <x v="2"/>
    <x v="0"/>
    <m/>
    <x v="0"/>
    <x v="0"/>
    <x v="0"/>
    <x v="0"/>
    <n v="35"/>
    <x v="0"/>
    <x v="2"/>
    <n v="35"/>
    <x v="0"/>
    <x v="0"/>
    <n v="85"/>
  </r>
  <r>
    <x v="3"/>
    <x v="0"/>
    <n v="28"/>
    <x v="1"/>
    <x v="8"/>
    <x v="1"/>
    <x v="1"/>
    <x v="0"/>
    <n v="66"/>
    <x v="0"/>
    <x v="0"/>
    <x v="0"/>
    <x v="0"/>
    <n v="33"/>
    <x v="0"/>
    <x v="1"/>
    <n v="33"/>
    <x v="0"/>
    <x v="0"/>
    <n v="83"/>
  </r>
  <r>
    <x v="3"/>
    <x v="0"/>
    <n v="29"/>
    <x v="0"/>
    <x v="4"/>
    <x v="0"/>
    <x v="2"/>
    <x v="0"/>
    <n v="66"/>
    <x v="0"/>
    <x v="0"/>
    <x v="0"/>
    <x v="0"/>
    <n v="72"/>
    <x v="0"/>
    <x v="2"/>
    <n v="72"/>
    <x v="0"/>
    <x v="0"/>
    <n v="122"/>
  </r>
  <r>
    <x v="3"/>
    <x v="0"/>
    <n v="30"/>
    <x v="0"/>
    <x v="6"/>
    <x v="1"/>
    <x v="0"/>
    <x v="0"/>
    <n v="83"/>
    <x v="0"/>
    <x v="0"/>
    <x v="0"/>
    <x v="0"/>
    <n v="72"/>
    <x v="0"/>
    <x v="0"/>
    <n v="72"/>
    <x v="0"/>
    <x v="0"/>
    <n v="122"/>
  </r>
  <r>
    <x v="3"/>
    <x v="0"/>
    <n v="31"/>
    <x v="5"/>
    <x v="4"/>
    <x v="1"/>
    <x v="1"/>
    <x v="1"/>
    <n v="55"/>
    <x v="0"/>
    <x v="0"/>
    <x v="0"/>
    <x v="0"/>
    <n v="24"/>
    <x v="2"/>
    <x v="1"/>
    <n v="-48"/>
    <x v="1"/>
    <x v="0"/>
    <n v="-98"/>
  </r>
  <r>
    <x v="3"/>
    <x v="0"/>
    <n v="31"/>
    <x v="5"/>
    <x v="4"/>
    <x v="1"/>
    <x v="1"/>
    <x v="1"/>
    <n v="55"/>
    <x v="0"/>
    <x v="0"/>
    <x v="0"/>
    <x v="0"/>
    <n v="24"/>
    <x v="2"/>
    <x v="2"/>
    <n v="0"/>
    <x v="2"/>
    <x v="2"/>
    <n v="40"/>
  </r>
  <r>
    <x v="3"/>
    <x v="0"/>
    <n v="31"/>
    <x v="5"/>
    <x v="4"/>
    <x v="1"/>
    <x v="1"/>
    <x v="1"/>
    <n v="55"/>
    <x v="0"/>
    <x v="0"/>
    <x v="0"/>
    <x v="0"/>
    <n v="24"/>
    <x v="2"/>
    <x v="0"/>
    <n v="0"/>
    <x v="2"/>
    <x v="2"/>
    <n v="40"/>
  </r>
  <r>
    <x v="3"/>
    <x v="0"/>
    <n v="32"/>
    <x v="2"/>
    <x v="2"/>
    <x v="2"/>
    <x v="0"/>
    <x v="0"/>
    <m/>
    <x v="0"/>
    <x v="0"/>
    <x v="0"/>
    <x v="0"/>
    <n v="46"/>
    <x v="0"/>
    <x v="0"/>
    <n v="46"/>
    <x v="0"/>
    <x v="0"/>
    <n v="96"/>
  </r>
  <r>
    <x v="3"/>
    <x v="0"/>
    <n v="33"/>
    <x v="4"/>
    <x v="6"/>
    <x v="1"/>
    <x v="0"/>
    <x v="1"/>
    <n v="48"/>
    <x v="0"/>
    <x v="0"/>
    <x v="0"/>
    <x v="0"/>
    <n v="30"/>
    <x v="2"/>
    <x v="1"/>
    <n v="0"/>
    <x v="2"/>
    <x v="2"/>
    <n v="40"/>
  </r>
  <r>
    <x v="3"/>
    <x v="0"/>
    <n v="33"/>
    <x v="4"/>
    <x v="6"/>
    <x v="1"/>
    <x v="0"/>
    <x v="1"/>
    <n v="48"/>
    <x v="0"/>
    <x v="0"/>
    <x v="0"/>
    <x v="0"/>
    <n v="30"/>
    <x v="2"/>
    <x v="2"/>
    <n v="0"/>
    <x v="2"/>
    <x v="2"/>
    <n v="40"/>
  </r>
  <r>
    <x v="3"/>
    <x v="0"/>
    <n v="33"/>
    <x v="4"/>
    <x v="6"/>
    <x v="1"/>
    <x v="0"/>
    <x v="1"/>
    <n v="48"/>
    <x v="0"/>
    <x v="0"/>
    <x v="0"/>
    <x v="0"/>
    <n v="30"/>
    <x v="2"/>
    <x v="0"/>
    <n v="-60"/>
    <x v="1"/>
    <x v="0"/>
    <n v="-110"/>
  </r>
  <r>
    <x v="3"/>
    <x v="0"/>
    <n v="34"/>
    <x v="2"/>
    <x v="2"/>
    <x v="1"/>
    <x v="2"/>
    <x v="1"/>
    <m/>
    <x v="0"/>
    <x v="0"/>
    <x v="0"/>
    <x v="0"/>
    <n v="23"/>
    <x v="2"/>
    <x v="1"/>
    <n v="0"/>
    <x v="2"/>
    <x v="2"/>
    <n v="40"/>
  </r>
  <r>
    <x v="3"/>
    <x v="0"/>
    <n v="34"/>
    <x v="2"/>
    <x v="2"/>
    <x v="1"/>
    <x v="2"/>
    <x v="1"/>
    <m/>
    <x v="0"/>
    <x v="0"/>
    <x v="0"/>
    <x v="0"/>
    <n v="23"/>
    <x v="2"/>
    <x v="2"/>
    <n v="-46"/>
    <x v="1"/>
    <x v="0"/>
    <n v="-96"/>
  </r>
  <r>
    <x v="3"/>
    <x v="0"/>
    <n v="34"/>
    <x v="2"/>
    <x v="2"/>
    <x v="1"/>
    <x v="2"/>
    <x v="1"/>
    <m/>
    <x v="0"/>
    <x v="0"/>
    <x v="0"/>
    <x v="0"/>
    <n v="23"/>
    <x v="2"/>
    <x v="0"/>
    <n v="0"/>
    <x v="2"/>
    <x v="2"/>
    <n v="40"/>
  </r>
  <r>
    <x v="3"/>
    <x v="0"/>
    <n v="35"/>
    <x v="4"/>
    <x v="4"/>
    <x v="0"/>
    <x v="0"/>
    <x v="0"/>
    <n v="92"/>
    <x v="0"/>
    <x v="0"/>
    <x v="0"/>
    <x v="0"/>
    <n v="30"/>
    <x v="0"/>
    <x v="0"/>
    <n v="30"/>
    <x v="0"/>
    <x v="0"/>
    <n v="80"/>
  </r>
  <r>
    <x v="3"/>
    <x v="0"/>
    <n v="36"/>
    <x v="4"/>
    <x v="1"/>
    <x v="1"/>
    <x v="1"/>
    <x v="0"/>
    <n v="73"/>
    <x v="0"/>
    <x v="0"/>
    <x v="0"/>
    <x v="0"/>
    <n v="40"/>
    <x v="0"/>
    <x v="1"/>
    <n v="40"/>
    <x v="0"/>
    <x v="0"/>
    <n v="90"/>
  </r>
  <r>
    <x v="4"/>
    <x v="0"/>
    <n v="1"/>
    <x v="0"/>
    <x v="6"/>
    <x v="0"/>
    <x v="2"/>
    <x v="0"/>
    <n v="95"/>
    <x v="0"/>
    <x v="0"/>
    <x v="0"/>
    <x v="0"/>
    <n v="96"/>
    <x v="0"/>
    <x v="2"/>
    <n v="96"/>
    <x v="0"/>
    <x v="0"/>
    <n v="146"/>
  </r>
  <r>
    <x v="4"/>
    <x v="0"/>
    <n v="2"/>
    <x v="4"/>
    <x v="5"/>
    <x v="1"/>
    <x v="0"/>
    <x v="0"/>
    <n v="85"/>
    <x v="0"/>
    <x v="0"/>
    <x v="0"/>
    <x v="0"/>
    <n v="20"/>
    <x v="0"/>
    <x v="0"/>
    <n v="20"/>
    <x v="0"/>
    <x v="0"/>
    <n v="70"/>
  </r>
  <r>
    <x v="4"/>
    <x v="0"/>
    <n v="3"/>
    <x v="0"/>
    <x v="5"/>
    <x v="1"/>
    <x v="1"/>
    <x v="0"/>
    <n v="84"/>
    <x v="0"/>
    <x v="0"/>
    <x v="0"/>
    <x v="0"/>
    <n v="48"/>
    <x v="0"/>
    <x v="1"/>
    <n v="48"/>
    <x v="0"/>
    <x v="0"/>
    <n v="98"/>
  </r>
  <r>
    <x v="4"/>
    <x v="0"/>
    <n v="4"/>
    <x v="5"/>
    <x v="8"/>
    <x v="1"/>
    <x v="0"/>
    <x v="0"/>
    <n v="62"/>
    <x v="0"/>
    <x v="0"/>
    <x v="0"/>
    <x v="0"/>
    <n v="36"/>
    <x v="0"/>
    <x v="0"/>
    <n v="36"/>
    <x v="0"/>
    <x v="0"/>
    <n v="86"/>
  </r>
  <r>
    <x v="4"/>
    <x v="0"/>
    <n v="5"/>
    <x v="1"/>
    <x v="5"/>
    <x v="1"/>
    <x v="2"/>
    <x v="1"/>
    <n v="40"/>
    <x v="0"/>
    <x v="0"/>
    <x v="0"/>
    <x v="0"/>
    <n v="22"/>
    <x v="2"/>
    <x v="2"/>
    <n v="-44"/>
    <x v="1"/>
    <x v="0"/>
    <n v="-94"/>
  </r>
  <r>
    <x v="4"/>
    <x v="0"/>
    <n v="5"/>
    <x v="1"/>
    <x v="5"/>
    <x v="1"/>
    <x v="2"/>
    <x v="1"/>
    <n v="40"/>
    <x v="0"/>
    <x v="0"/>
    <x v="0"/>
    <x v="0"/>
    <n v="22"/>
    <x v="2"/>
    <x v="0"/>
    <n v="0"/>
    <x v="2"/>
    <x v="2"/>
    <n v="40"/>
  </r>
  <r>
    <x v="4"/>
    <x v="0"/>
    <n v="5"/>
    <x v="1"/>
    <x v="5"/>
    <x v="1"/>
    <x v="2"/>
    <x v="1"/>
    <n v="40"/>
    <x v="0"/>
    <x v="0"/>
    <x v="0"/>
    <x v="0"/>
    <n v="22"/>
    <x v="2"/>
    <x v="1"/>
    <n v="0"/>
    <x v="2"/>
    <x v="2"/>
    <n v="40"/>
  </r>
  <r>
    <x v="4"/>
    <x v="0"/>
    <n v="6"/>
    <x v="1"/>
    <x v="5"/>
    <x v="1"/>
    <x v="1"/>
    <x v="1"/>
    <n v="55"/>
    <x v="0"/>
    <x v="0"/>
    <x v="0"/>
    <x v="0"/>
    <n v="22"/>
    <x v="2"/>
    <x v="2"/>
    <n v="0"/>
    <x v="2"/>
    <x v="2"/>
    <n v="40"/>
  </r>
  <r>
    <x v="4"/>
    <x v="0"/>
    <n v="6"/>
    <x v="1"/>
    <x v="5"/>
    <x v="1"/>
    <x v="1"/>
    <x v="1"/>
    <n v="55"/>
    <x v="0"/>
    <x v="0"/>
    <x v="0"/>
    <x v="0"/>
    <n v="22"/>
    <x v="2"/>
    <x v="0"/>
    <n v="0"/>
    <x v="2"/>
    <x v="2"/>
    <n v="40"/>
  </r>
  <r>
    <x v="4"/>
    <x v="0"/>
    <n v="6"/>
    <x v="1"/>
    <x v="5"/>
    <x v="1"/>
    <x v="1"/>
    <x v="1"/>
    <n v="55"/>
    <x v="0"/>
    <x v="0"/>
    <x v="0"/>
    <x v="0"/>
    <n v="22"/>
    <x v="2"/>
    <x v="1"/>
    <n v="-44"/>
    <x v="1"/>
    <x v="0"/>
    <n v="-94"/>
  </r>
  <r>
    <x v="4"/>
    <x v="0"/>
    <n v="7"/>
    <x v="0"/>
    <x v="0"/>
    <x v="1"/>
    <x v="1"/>
    <x v="0"/>
    <n v="88"/>
    <x v="0"/>
    <x v="0"/>
    <x v="0"/>
    <x v="0"/>
    <n v="120"/>
    <x v="0"/>
    <x v="1"/>
    <n v="120"/>
    <x v="0"/>
    <x v="0"/>
    <n v="170"/>
  </r>
  <r>
    <x v="4"/>
    <x v="0"/>
    <n v="8"/>
    <x v="5"/>
    <x v="0"/>
    <x v="0"/>
    <x v="2"/>
    <x v="0"/>
    <n v="95"/>
    <x v="0"/>
    <x v="0"/>
    <x v="0"/>
    <x v="0"/>
    <n v="72"/>
    <x v="0"/>
    <x v="2"/>
    <n v="72"/>
    <x v="0"/>
    <x v="0"/>
    <n v="122"/>
  </r>
  <r>
    <x v="4"/>
    <x v="0"/>
    <n v="9"/>
    <x v="1"/>
    <x v="5"/>
    <x v="1"/>
    <x v="1"/>
    <x v="1"/>
    <n v="48"/>
    <x v="0"/>
    <x v="0"/>
    <x v="0"/>
    <x v="0"/>
    <n v="22"/>
    <x v="2"/>
    <x v="2"/>
    <n v="0"/>
    <x v="2"/>
    <x v="2"/>
    <n v="40"/>
  </r>
  <r>
    <x v="4"/>
    <x v="0"/>
    <n v="9"/>
    <x v="1"/>
    <x v="5"/>
    <x v="1"/>
    <x v="1"/>
    <x v="1"/>
    <n v="48"/>
    <x v="0"/>
    <x v="0"/>
    <x v="0"/>
    <x v="0"/>
    <n v="22"/>
    <x v="2"/>
    <x v="0"/>
    <n v="0"/>
    <x v="2"/>
    <x v="2"/>
    <n v="40"/>
  </r>
  <r>
    <x v="4"/>
    <x v="0"/>
    <n v="9"/>
    <x v="1"/>
    <x v="5"/>
    <x v="1"/>
    <x v="1"/>
    <x v="1"/>
    <n v="48"/>
    <x v="0"/>
    <x v="0"/>
    <x v="0"/>
    <x v="0"/>
    <n v="22"/>
    <x v="2"/>
    <x v="1"/>
    <n v="-44"/>
    <x v="1"/>
    <x v="0"/>
    <n v="-94"/>
  </r>
  <r>
    <x v="4"/>
    <x v="0"/>
    <n v="10"/>
    <x v="1"/>
    <x v="4"/>
    <x v="1"/>
    <x v="0"/>
    <x v="0"/>
    <n v="68"/>
    <x v="0"/>
    <x v="0"/>
    <x v="0"/>
    <x v="0"/>
    <n v="22"/>
    <x v="0"/>
    <x v="0"/>
    <n v="22"/>
    <x v="0"/>
    <x v="0"/>
    <n v="72"/>
  </r>
  <r>
    <x v="4"/>
    <x v="0"/>
    <n v="11"/>
    <x v="5"/>
    <x v="4"/>
    <x v="1"/>
    <x v="1"/>
    <x v="1"/>
    <n v="60"/>
    <x v="0"/>
    <x v="0"/>
    <x v="0"/>
    <x v="0"/>
    <n v="24"/>
    <x v="2"/>
    <x v="2"/>
    <n v="0"/>
    <x v="2"/>
    <x v="2"/>
    <n v="40"/>
  </r>
  <r>
    <x v="4"/>
    <x v="0"/>
    <n v="11"/>
    <x v="5"/>
    <x v="4"/>
    <x v="1"/>
    <x v="1"/>
    <x v="1"/>
    <n v="60"/>
    <x v="0"/>
    <x v="0"/>
    <x v="0"/>
    <x v="0"/>
    <n v="24"/>
    <x v="2"/>
    <x v="0"/>
    <n v="0"/>
    <x v="2"/>
    <x v="2"/>
    <n v="40"/>
  </r>
  <r>
    <x v="4"/>
    <x v="0"/>
    <n v="11"/>
    <x v="5"/>
    <x v="4"/>
    <x v="1"/>
    <x v="1"/>
    <x v="1"/>
    <n v="60"/>
    <x v="0"/>
    <x v="0"/>
    <x v="0"/>
    <x v="0"/>
    <n v="24"/>
    <x v="2"/>
    <x v="1"/>
    <n v="-48"/>
    <x v="1"/>
    <x v="0"/>
    <n v="-98"/>
  </r>
  <r>
    <x v="4"/>
    <x v="0"/>
    <n v="12"/>
    <x v="2"/>
    <x v="2"/>
    <x v="1"/>
    <x v="1"/>
    <x v="1"/>
    <m/>
    <x v="1"/>
    <x v="0"/>
    <x v="0"/>
    <x v="0"/>
    <n v="23"/>
    <x v="4"/>
    <x v="2"/>
    <n v="0"/>
    <x v="2"/>
    <x v="2"/>
    <n v="40"/>
  </r>
  <r>
    <x v="4"/>
    <x v="0"/>
    <n v="12"/>
    <x v="2"/>
    <x v="2"/>
    <x v="1"/>
    <x v="1"/>
    <x v="1"/>
    <m/>
    <x v="1"/>
    <x v="0"/>
    <x v="0"/>
    <x v="0"/>
    <n v="23"/>
    <x v="4"/>
    <x v="0"/>
    <n v="0"/>
    <x v="2"/>
    <x v="2"/>
    <n v="40"/>
  </r>
  <r>
    <x v="4"/>
    <x v="0"/>
    <n v="12"/>
    <x v="2"/>
    <x v="2"/>
    <x v="1"/>
    <x v="1"/>
    <x v="1"/>
    <m/>
    <x v="1"/>
    <x v="0"/>
    <x v="0"/>
    <x v="0"/>
    <n v="23"/>
    <x v="4"/>
    <x v="1"/>
    <n v="-92"/>
    <x v="1"/>
    <x v="0"/>
    <n v="-142"/>
  </r>
  <r>
    <x v="4"/>
    <x v="0"/>
    <n v="13"/>
    <x v="6"/>
    <x v="5"/>
    <x v="1"/>
    <x v="1"/>
    <x v="0"/>
    <n v="71"/>
    <x v="1"/>
    <x v="0"/>
    <x v="0"/>
    <x v="0"/>
    <n v="18"/>
    <x v="3"/>
    <x v="1"/>
    <n v="36"/>
    <x v="0"/>
    <x v="0"/>
    <n v="86"/>
  </r>
  <r>
    <x v="4"/>
    <x v="0"/>
    <n v="14"/>
    <x v="6"/>
    <x v="5"/>
    <x v="1"/>
    <x v="1"/>
    <x v="1"/>
    <n v="50"/>
    <x v="1"/>
    <x v="0"/>
    <x v="0"/>
    <x v="0"/>
    <n v="18"/>
    <x v="4"/>
    <x v="2"/>
    <n v="0"/>
    <x v="2"/>
    <x v="2"/>
    <n v="40"/>
  </r>
  <r>
    <x v="4"/>
    <x v="0"/>
    <n v="14"/>
    <x v="6"/>
    <x v="5"/>
    <x v="1"/>
    <x v="1"/>
    <x v="1"/>
    <n v="50"/>
    <x v="1"/>
    <x v="0"/>
    <x v="0"/>
    <x v="0"/>
    <n v="18"/>
    <x v="4"/>
    <x v="0"/>
    <n v="0"/>
    <x v="2"/>
    <x v="2"/>
    <n v="40"/>
  </r>
  <r>
    <x v="4"/>
    <x v="0"/>
    <n v="14"/>
    <x v="6"/>
    <x v="5"/>
    <x v="1"/>
    <x v="1"/>
    <x v="1"/>
    <n v="50"/>
    <x v="1"/>
    <x v="0"/>
    <x v="0"/>
    <x v="0"/>
    <n v="18"/>
    <x v="4"/>
    <x v="1"/>
    <n v="-72"/>
    <x v="1"/>
    <x v="0"/>
    <n v="-122"/>
  </r>
  <r>
    <x v="4"/>
    <x v="0"/>
    <n v="15"/>
    <x v="5"/>
    <x v="6"/>
    <x v="0"/>
    <x v="1"/>
    <x v="0"/>
    <n v="102"/>
    <x v="0"/>
    <x v="0"/>
    <x v="0"/>
    <x v="0"/>
    <n v="48"/>
    <x v="0"/>
    <x v="1"/>
    <n v="48"/>
    <x v="0"/>
    <x v="0"/>
    <n v="98"/>
  </r>
  <r>
    <x v="4"/>
    <x v="0"/>
    <n v="16"/>
    <x v="5"/>
    <x v="5"/>
    <x v="1"/>
    <x v="0"/>
    <x v="0"/>
    <n v="71"/>
    <x v="0"/>
    <x v="0"/>
    <x v="0"/>
    <x v="0"/>
    <n v="24"/>
    <x v="0"/>
    <x v="0"/>
    <n v="24"/>
    <x v="0"/>
    <x v="0"/>
    <n v="74"/>
  </r>
  <r>
    <x v="4"/>
    <x v="0"/>
    <n v="17"/>
    <x v="4"/>
    <x v="7"/>
    <x v="1"/>
    <x v="1"/>
    <x v="0"/>
    <n v="81"/>
    <x v="0"/>
    <x v="0"/>
    <x v="0"/>
    <x v="0"/>
    <n v="40"/>
    <x v="0"/>
    <x v="1"/>
    <n v="40"/>
    <x v="0"/>
    <x v="0"/>
    <n v="90"/>
  </r>
  <r>
    <x v="4"/>
    <x v="0"/>
    <n v="18"/>
    <x v="2"/>
    <x v="2"/>
    <x v="1"/>
    <x v="0"/>
    <x v="1"/>
    <m/>
    <x v="0"/>
    <x v="0"/>
    <x v="0"/>
    <x v="0"/>
    <n v="23"/>
    <x v="2"/>
    <x v="2"/>
    <n v="0"/>
    <x v="2"/>
    <x v="2"/>
    <n v="40"/>
  </r>
  <r>
    <x v="4"/>
    <x v="0"/>
    <n v="18"/>
    <x v="2"/>
    <x v="2"/>
    <x v="1"/>
    <x v="0"/>
    <x v="1"/>
    <m/>
    <x v="0"/>
    <x v="0"/>
    <x v="0"/>
    <x v="0"/>
    <n v="23"/>
    <x v="2"/>
    <x v="0"/>
    <n v="-46"/>
    <x v="1"/>
    <x v="0"/>
    <n v="-96"/>
  </r>
  <r>
    <x v="4"/>
    <x v="0"/>
    <n v="18"/>
    <x v="2"/>
    <x v="2"/>
    <x v="1"/>
    <x v="0"/>
    <x v="1"/>
    <m/>
    <x v="0"/>
    <x v="0"/>
    <x v="0"/>
    <x v="0"/>
    <n v="23"/>
    <x v="2"/>
    <x v="1"/>
    <n v="0"/>
    <x v="2"/>
    <x v="2"/>
    <n v="40"/>
  </r>
  <r>
    <x v="4"/>
    <x v="0"/>
    <n v="19"/>
    <x v="1"/>
    <x v="5"/>
    <x v="0"/>
    <x v="0"/>
    <x v="1"/>
    <n v="28"/>
    <x v="0"/>
    <x v="0"/>
    <x v="0"/>
    <x v="0"/>
    <n v="33"/>
    <x v="2"/>
    <x v="2"/>
    <n v="0"/>
    <x v="2"/>
    <x v="2"/>
    <n v="40"/>
  </r>
  <r>
    <x v="4"/>
    <x v="0"/>
    <n v="19"/>
    <x v="1"/>
    <x v="5"/>
    <x v="0"/>
    <x v="0"/>
    <x v="1"/>
    <n v="28"/>
    <x v="0"/>
    <x v="0"/>
    <x v="0"/>
    <x v="0"/>
    <n v="33"/>
    <x v="2"/>
    <x v="0"/>
    <n v="-66"/>
    <x v="1"/>
    <x v="0"/>
    <n v="-116"/>
  </r>
  <r>
    <x v="4"/>
    <x v="0"/>
    <n v="19"/>
    <x v="1"/>
    <x v="5"/>
    <x v="0"/>
    <x v="0"/>
    <x v="1"/>
    <n v="28"/>
    <x v="0"/>
    <x v="0"/>
    <x v="0"/>
    <x v="0"/>
    <n v="33"/>
    <x v="2"/>
    <x v="1"/>
    <n v="0"/>
    <x v="2"/>
    <x v="2"/>
    <n v="40"/>
  </r>
  <r>
    <x v="4"/>
    <x v="0"/>
    <n v="20"/>
    <x v="1"/>
    <x v="6"/>
    <x v="1"/>
    <x v="0"/>
    <x v="0"/>
    <n v="73"/>
    <x v="1"/>
    <x v="0"/>
    <x v="0"/>
    <x v="0"/>
    <n v="33"/>
    <x v="3"/>
    <x v="0"/>
    <n v="66"/>
    <x v="0"/>
    <x v="0"/>
    <n v="116"/>
  </r>
  <r>
    <x v="4"/>
    <x v="0"/>
    <n v="21"/>
    <x v="0"/>
    <x v="5"/>
    <x v="1"/>
    <x v="2"/>
    <x v="0"/>
    <n v="81"/>
    <x v="1"/>
    <x v="0"/>
    <x v="0"/>
    <x v="0"/>
    <n v="48"/>
    <x v="3"/>
    <x v="2"/>
    <n v="96"/>
    <x v="0"/>
    <x v="0"/>
    <n v="146"/>
  </r>
  <r>
    <x v="4"/>
    <x v="0"/>
    <n v="22"/>
    <x v="6"/>
    <x v="7"/>
    <x v="1"/>
    <x v="1"/>
    <x v="0"/>
    <n v="69"/>
    <x v="1"/>
    <x v="0"/>
    <x v="0"/>
    <x v="0"/>
    <n v="36"/>
    <x v="3"/>
    <x v="1"/>
    <n v="72"/>
    <x v="0"/>
    <x v="0"/>
    <n v="122"/>
  </r>
  <r>
    <x v="4"/>
    <x v="0"/>
    <n v="23"/>
    <x v="6"/>
    <x v="5"/>
    <x v="0"/>
    <x v="1"/>
    <x v="0"/>
    <n v="96"/>
    <x v="0"/>
    <x v="0"/>
    <x v="0"/>
    <x v="0"/>
    <n v="27"/>
    <x v="0"/>
    <x v="1"/>
    <n v="27"/>
    <x v="0"/>
    <x v="0"/>
    <n v="77"/>
  </r>
  <r>
    <x v="4"/>
    <x v="0"/>
    <n v="24"/>
    <x v="5"/>
    <x v="4"/>
    <x v="0"/>
    <x v="2"/>
    <x v="0"/>
    <n v="99"/>
    <x v="0"/>
    <x v="0"/>
    <x v="0"/>
    <x v="0"/>
    <n v="36"/>
    <x v="0"/>
    <x v="2"/>
    <n v="36"/>
    <x v="0"/>
    <x v="0"/>
    <n v="86"/>
  </r>
  <r>
    <x v="4"/>
    <x v="0"/>
    <n v="25"/>
    <x v="0"/>
    <x v="1"/>
    <x v="1"/>
    <x v="1"/>
    <x v="0"/>
    <n v="88"/>
    <x v="0"/>
    <x v="0"/>
    <x v="0"/>
    <x v="0"/>
    <n v="96"/>
    <x v="0"/>
    <x v="1"/>
    <n v="96"/>
    <x v="0"/>
    <x v="0"/>
    <n v="146"/>
  </r>
  <r>
    <x v="4"/>
    <x v="0"/>
    <n v="26"/>
    <x v="2"/>
    <x v="2"/>
    <x v="1"/>
    <x v="2"/>
    <x v="1"/>
    <m/>
    <x v="0"/>
    <x v="0"/>
    <x v="0"/>
    <x v="0"/>
    <n v="23"/>
    <x v="2"/>
    <x v="2"/>
    <n v="-46"/>
    <x v="1"/>
    <x v="0"/>
    <n v="-96"/>
  </r>
  <r>
    <x v="4"/>
    <x v="0"/>
    <n v="26"/>
    <x v="2"/>
    <x v="2"/>
    <x v="1"/>
    <x v="2"/>
    <x v="1"/>
    <m/>
    <x v="0"/>
    <x v="0"/>
    <x v="0"/>
    <x v="0"/>
    <n v="23"/>
    <x v="2"/>
    <x v="0"/>
    <n v="0"/>
    <x v="2"/>
    <x v="2"/>
    <n v="40"/>
  </r>
  <r>
    <x v="4"/>
    <x v="0"/>
    <n v="26"/>
    <x v="2"/>
    <x v="2"/>
    <x v="1"/>
    <x v="2"/>
    <x v="1"/>
    <m/>
    <x v="0"/>
    <x v="0"/>
    <x v="0"/>
    <x v="0"/>
    <n v="23"/>
    <x v="2"/>
    <x v="1"/>
    <n v="0"/>
    <x v="2"/>
    <x v="2"/>
    <n v="40"/>
  </r>
  <r>
    <x v="4"/>
    <x v="0"/>
    <n v="27"/>
    <x v="1"/>
    <x v="4"/>
    <x v="1"/>
    <x v="2"/>
    <x v="1"/>
    <n v="55"/>
    <x v="0"/>
    <x v="0"/>
    <x v="0"/>
    <x v="0"/>
    <n v="22"/>
    <x v="2"/>
    <x v="2"/>
    <n v="-44"/>
    <x v="1"/>
    <x v="0"/>
    <n v="-94"/>
  </r>
  <r>
    <x v="4"/>
    <x v="0"/>
    <n v="27"/>
    <x v="1"/>
    <x v="4"/>
    <x v="1"/>
    <x v="2"/>
    <x v="1"/>
    <n v="55"/>
    <x v="0"/>
    <x v="0"/>
    <x v="0"/>
    <x v="0"/>
    <n v="22"/>
    <x v="2"/>
    <x v="0"/>
    <n v="0"/>
    <x v="2"/>
    <x v="2"/>
    <n v="40"/>
  </r>
  <r>
    <x v="4"/>
    <x v="0"/>
    <n v="27"/>
    <x v="1"/>
    <x v="4"/>
    <x v="1"/>
    <x v="2"/>
    <x v="1"/>
    <n v="55"/>
    <x v="0"/>
    <x v="0"/>
    <x v="0"/>
    <x v="0"/>
    <n v="22"/>
    <x v="2"/>
    <x v="1"/>
    <n v="0"/>
    <x v="2"/>
    <x v="2"/>
    <n v="40"/>
  </r>
  <r>
    <x v="4"/>
    <x v="0"/>
    <n v="28"/>
    <x v="1"/>
    <x v="8"/>
    <x v="1"/>
    <x v="2"/>
    <x v="1"/>
    <n v="49"/>
    <x v="0"/>
    <x v="0"/>
    <x v="0"/>
    <x v="0"/>
    <n v="33"/>
    <x v="2"/>
    <x v="2"/>
    <n v="-66"/>
    <x v="1"/>
    <x v="0"/>
    <n v="-116"/>
  </r>
  <r>
    <x v="4"/>
    <x v="0"/>
    <n v="28"/>
    <x v="1"/>
    <x v="8"/>
    <x v="1"/>
    <x v="2"/>
    <x v="1"/>
    <n v="49"/>
    <x v="0"/>
    <x v="0"/>
    <x v="0"/>
    <x v="0"/>
    <n v="33"/>
    <x v="2"/>
    <x v="0"/>
    <n v="0"/>
    <x v="2"/>
    <x v="2"/>
    <n v="40"/>
  </r>
  <r>
    <x v="4"/>
    <x v="0"/>
    <n v="28"/>
    <x v="1"/>
    <x v="8"/>
    <x v="1"/>
    <x v="2"/>
    <x v="1"/>
    <n v="49"/>
    <x v="0"/>
    <x v="0"/>
    <x v="0"/>
    <x v="0"/>
    <n v="33"/>
    <x v="2"/>
    <x v="1"/>
    <n v="0"/>
    <x v="2"/>
    <x v="2"/>
    <n v="40"/>
  </r>
  <r>
    <x v="4"/>
    <x v="0"/>
    <n v="29"/>
    <x v="4"/>
    <x v="5"/>
    <x v="1"/>
    <x v="0"/>
    <x v="0"/>
    <n v="85"/>
    <x v="0"/>
    <x v="0"/>
    <x v="0"/>
    <x v="0"/>
    <n v="20"/>
    <x v="0"/>
    <x v="0"/>
    <n v="20"/>
    <x v="0"/>
    <x v="0"/>
    <n v="70"/>
  </r>
  <r>
    <x v="4"/>
    <x v="0"/>
    <n v="30"/>
    <x v="5"/>
    <x v="5"/>
    <x v="1"/>
    <x v="0"/>
    <x v="0"/>
    <n v="81"/>
    <x v="0"/>
    <x v="0"/>
    <x v="0"/>
    <x v="0"/>
    <n v="24"/>
    <x v="0"/>
    <x v="0"/>
    <n v="24"/>
    <x v="0"/>
    <x v="0"/>
    <n v="74"/>
  </r>
  <r>
    <x v="4"/>
    <x v="0"/>
    <n v="31"/>
    <x v="1"/>
    <x v="1"/>
    <x v="0"/>
    <x v="1"/>
    <x v="0"/>
    <n v="96"/>
    <x v="0"/>
    <x v="0"/>
    <x v="0"/>
    <x v="0"/>
    <n v="55"/>
    <x v="0"/>
    <x v="1"/>
    <n v="55"/>
    <x v="0"/>
    <x v="0"/>
    <n v="105"/>
  </r>
  <r>
    <x v="4"/>
    <x v="0"/>
    <n v="32"/>
    <x v="0"/>
    <x v="0"/>
    <x v="1"/>
    <x v="0"/>
    <x v="0"/>
    <n v="77"/>
    <x v="0"/>
    <x v="0"/>
    <x v="0"/>
    <x v="0"/>
    <n v="120"/>
    <x v="0"/>
    <x v="0"/>
    <n v="120"/>
    <x v="0"/>
    <x v="0"/>
    <n v="170"/>
  </r>
  <r>
    <x v="4"/>
    <x v="0"/>
    <n v="33"/>
    <x v="5"/>
    <x v="6"/>
    <x v="1"/>
    <x v="0"/>
    <x v="0"/>
    <n v="85"/>
    <x v="0"/>
    <x v="0"/>
    <x v="0"/>
    <x v="0"/>
    <n v="36"/>
    <x v="0"/>
    <x v="0"/>
    <n v="36"/>
    <x v="0"/>
    <x v="0"/>
    <n v="86"/>
  </r>
  <r>
    <x v="4"/>
    <x v="0"/>
    <n v="34"/>
    <x v="1"/>
    <x v="8"/>
    <x v="1"/>
    <x v="0"/>
    <x v="1"/>
    <n v="60"/>
    <x v="0"/>
    <x v="0"/>
    <x v="0"/>
    <x v="0"/>
    <n v="33"/>
    <x v="2"/>
    <x v="2"/>
    <n v="0"/>
    <x v="2"/>
    <x v="2"/>
    <n v="40"/>
  </r>
  <r>
    <x v="4"/>
    <x v="0"/>
    <n v="34"/>
    <x v="1"/>
    <x v="8"/>
    <x v="1"/>
    <x v="0"/>
    <x v="1"/>
    <n v="60"/>
    <x v="0"/>
    <x v="0"/>
    <x v="0"/>
    <x v="0"/>
    <n v="33"/>
    <x v="2"/>
    <x v="0"/>
    <n v="-66"/>
    <x v="1"/>
    <x v="0"/>
    <n v="-116"/>
  </r>
  <r>
    <x v="4"/>
    <x v="0"/>
    <n v="34"/>
    <x v="1"/>
    <x v="8"/>
    <x v="1"/>
    <x v="0"/>
    <x v="1"/>
    <n v="60"/>
    <x v="0"/>
    <x v="0"/>
    <x v="0"/>
    <x v="0"/>
    <n v="33"/>
    <x v="2"/>
    <x v="1"/>
    <n v="0"/>
    <x v="2"/>
    <x v="2"/>
    <n v="40"/>
  </r>
  <r>
    <x v="4"/>
    <x v="0"/>
    <n v="35"/>
    <x v="1"/>
    <x v="4"/>
    <x v="1"/>
    <x v="1"/>
    <x v="0"/>
    <n v="87"/>
    <x v="1"/>
    <x v="0"/>
    <x v="0"/>
    <x v="0"/>
    <n v="22"/>
    <x v="3"/>
    <x v="1"/>
    <n v="44"/>
    <x v="0"/>
    <x v="0"/>
    <n v="94"/>
  </r>
  <r>
    <x v="4"/>
    <x v="0"/>
    <n v="36"/>
    <x v="3"/>
    <x v="2"/>
    <x v="1"/>
    <x v="1"/>
    <x v="1"/>
    <n v="72"/>
    <x v="1"/>
    <x v="0"/>
    <x v="0"/>
    <x v="0"/>
    <n v="72"/>
    <x v="2"/>
    <x v="2"/>
    <n v="0"/>
    <x v="2"/>
    <x v="1"/>
    <n v="40"/>
  </r>
  <r>
    <x v="4"/>
    <x v="0"/>
    <n v="36"/>
    <x v="3"/>
    <x v="2"/>
    <x v="1"/>
    <x v="1"/>
    <x v="1"/>
    <n v="72"/>
    <x v="1"/>
    <x v="0"/>
    <x v="0"/>
    <x v="0"/>
    <n v="72"/>
    <x v="2"/>
    <x v="0"/>
    <n v="0"/>
    <x v="2"/>
    <x v="1"/>
    <n v="40"/>
  </r>
  <r>
    <x v="4"/>
    <x v="0"/>
    <n v="36"/>
    <x v="3"/>
    <x v="2"/>
    <x v="1"/>
    <x v="1"/>
    <x v="1"/>
    <n v="72"/>
    <x v="1"/>
    <x v="0"/>
    <x v="0"/>
    <x v="0"/>
    <n v="72"/>
    <x v="2"/>
    <x v="1"/>
    <n v="-144"/>
    <x v="1"/>
    <x v="1"/>
    <n v="-194"/>
  </r>
</pivotCacheRecords>
</file>

<file path=xl/pivotCache/pivotCacheRecords3.xml><?xml version="1.0" encoding="utf-8"?>
<pivotCacheRecords xmlns="http://schemas.openxmlformats.org/spreadsheetml/2006/main" xmlns:r="http://schemas.openxmlformats.org/officeDocument/2006/relationships" count="24">
  <r>
    <x v="0"/>
    <x v="0"/>
    <x v="0"/>
    <x v="0"/>
    <x v="0"/>
    <x v="0"/>
  </r>
  <r>
    <x v="0"/>
    <x v="0"/>
    <x v="1"/>
    <x v="1"/>
    <x v="0"/>
    <x v="1"/>
  </r>
  <r>
    <x v="0"/>
    <x v="0"/>
    <x v="2"/>
    <x v="2"/>
    <x v="0"/>
    <x v="2"/>
  </r>
  <r>
    <x v="1"/>
    <x v="1"/>
    <x v="2"/>
    <x v="3"/>
    <x v="0"/>
    <x v="3"/>
  </r>
  <r>
    <x v="1"/>
    <x v="1"/>
    <x v="0"/>
    <x v="4"/>
    <x v="0"/>
    <x v="4"/>
  </r>
  <r>
    <x v="1"/>
    <x v="1"/>
    <x v="1"/>
    <x v="5"/>
    <x v="0"/>
    <x v="5"/>
  </r>
  <r>
    <x v="1"/>
    <x v="0"/>
    <x v="2"/>
    <x v="6"/>
    <x v="1"/>
    <x v="6"/>
  </r>
  <r>
    <x v="1"/>
    <x v="0"/>
    <x v="1"/>
    <x v="7"/>
    <x v="1"/>
    <x v="7"/>
  </r>
  <r>
    <x v="1"/>
    <x v="0"/>
    <x v="0"/>
    <x v="8"/>
    <x v="1"/>
    <x v="8"/>
  </r>
  <r>
    <x v="2"/>
    <x v="0"/>
    <x v="1"/>
    <x v="9"/>
    <x v="0"/>
    <x v="9"/>
  </r>
  <r>
    <x v="2"/>
    <x v="0"/>
    <x v="2"/>
    <x v="10"/>
    <x v="0"/>
    <x v="10"/>
  </r>
  <r>
    <x v="2"/>
    <x v="0"/>
    <x v="0"/>
    <x v="10"/>
    <x v="0"/>
    <x v="10"/>
  </r>
  <r>
    <x v="2"/>
    <x v="1"/>
    <x v="2"/>
    <x v="11"/>
    <x v="0"/>
    <x v="11"/>
  </r>
  <r>
    <x v="2"/>
    <x v="1"/>
    <x v="1"/>
    <x v="12"/>
    <x v="0"/>
    <x v="12"/>
  </r>
  <r>
    <x v="2"/>
    <x v="1"/>
    <x v="0"/>
    <x v="13"/>
    <x v="0"/>
    <x v="13"/>
  </r>
  <r>
    <x v="2"/>
    <x v="2"/>
    <x v="2"/>
    <x v="14"/>
    <x v="0"/>
    <x v="14"/>
  </r>
  <r>
    <x v="2"/>
    <x v="2"/>
    <x v="0"/>
    <x v="15"/>
    <x v="0"/>
    <x v="15"/>
  </r>
  <r>
    <x v="2"/>
    <x v="2"/>
    <x v="1"/>
    <x v="16"/>
    <x v="0"/>
    <x v="16"/>
  </r>
  <r>
    <x v="3"/>
    <x v="0"/>
    <x v="1"/>
    <x v="17"/>
    <x v="0"/>
    <x v="17"/>
  </r>
  <r>
    <x v="3"/>
    <x v="0"/>
    <x v="2"/>
    <x v="18"/>
    <x v="0"/>
    <x v="18"/>
  </r>
  <r>
    <x v="3"/>
    <x v="0"/>
    <x v="0"/>
    <x v="19"/>
    <x v="0"/>
    <x v="19"/>
  </r>
  <r>
    <x v="4"/>
    <x v="0"/>
    <x v="2"/>
    <x v="20"/>
    <x v="0"/>
    <x v="20"/>
  </r>
  <r>
    <x v="4"/>
    <x v="0"/>
    <x v="0"/>
    <x v="21"/>
    <x v="0"/>
    <x v="21"/>
  </r>
  <r>
    <x v="4"/>
    <x v="0"/>
    <x v="1"/>
    <x v="22"/>
    <x v="0"/>
    <x v="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150" applyNumberFormats="0" applyBorderFormats="0" applyFontFormats="0" applyPatternFormats="0" applyAlignmentFormats="0" applyWidthHeightFormats="1" dataCaption="Values" updatedVersion="6" minRefreshableVersion="3" showDrill="0" colGrandTotals="0" itemPrintTitles="1" createdVersion="6" indent="0" compact="0" compactData="0" multipleFieldFilters="0" colHeaderCaption="Punkte" fieldListSortAscending="1">
  <location ref="B8:F18" firstHeaderRow="1" firstDataRow="2" firstDataCol="2"/>
  <pivotFields count="18">
    <pivotField axis="axisRow" compact="0" numFmtId="168" outline="0" showAll="0" sortType="descending" defaultSubtotal="0">
      <items count="42">
        <item x="4"/>
        <item x="3"/>
        <item m="1" x="26"/>
        <item m="1" x="10"/>
        <item m="1" x="30"/>
        <item m="1" x="16"/>
        <item m="1" x="37"/>
        <item m="1" x="24"/>
        <item m="1" x="6"/>
        <item m="1" x="28"/>
        <item m="1" x="11"/>
        <item m="1" x="33"/>
        <item m="1" x="19"/>
        <item m="1" x="39"/>
        <item m="1" x="25"/>
        <item m="1" x="8"/>
        <item m="1" x="29"/>
        <item m="1" x="14"/>
        <item m="1" x="34"/>
        <item x="2"/>
        <item x="1"/>
        <item x="0"/>
        <item m="1" x="9"/>
        <item m="1" x="5"/>
        <item m="1" x="7"/>
        <item m="1" x="18"/>
        <item m="1" x="13"/>
        <item m="1" x="32"/>
        <item m="1" x="12"/>
        <item m="1" x="38"/>
        <item m="1" x="31"/>
        <item m="1" x="35"/>
        <item m="1" x="36"/>
        <item m="1" x="41"/>
        <item m="1" x="23"/>
        <item m="1" x="17"/>
        <item m="1" x="40"/>
        <item m="1" x="21"/>
        <item m="1" x="22"/>
        <item m="1" x="15"/>
        <item m="1" x="27"/>
        <item m="1" x="20"/>
      </items>
    </pivotField>
    <pivotField axis="axisRow" compact="0" outline="0" showAll="0" defaultSubtotal="0">
      <items count="3">
        <item sd="0" x="0"/>
        <item sd="0"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3">
        <item x="2"/>
        <item x="0"/>
        <item x="1"/>
      </items>
    </pivotField>
    <pivotField compact="0" outline="0" showAll="0" sortType="descending" defaultSubtotal="0"/>
    <pivotField dataField="1" showAll="0" sortType="descending" defaultSubtotal="0"/>
  </pivotFields>
  <rowFields count="2">
    <field x="0"/>
    <field x="1"/>
  </rowFields>
  <rowItems count="9">
    <i>
      <x/>
      <x/>
    </i>
    <i>
      <x v="1"/>
      <x/>
    </i>
    <i>
      <x v="19"/>
      <x/>
    </i>
    <i r="1">
      <x v="1"/>
    </i>
    <i r="1">
      <x v="2"/>
    </i>
    <i>
      <x v="20"/>
      <x/>
    </i>
    <i r="1">
      <x v="1"/>
    </i>
    <i>
      <x v="21"/>
      <x/>
    </i>
    <i t="grand">
      <x/>
    </i>
  </rowItems>
  <colFields count="1">
    <field x="15"/>
  </colFields>
  <colItems count="3">
    <i>
      <x/>
    </i>
    <i>
      <x v="1"/>
    </i>
    <i>
      <x v="2"/>
    </i>
  </colItems>
  <dataFields count="1">
    <dataField name="History" fld="17" baseField="1" baseItem="0" numFmtId="169"/>
  </dataFields>
  <pivotTableStyleInfo name="Stats"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154" applyNumberFormats="0" applyBorderFormats="0" applyFontFormats="0" applyPatternFormats="0" applyAlignmentFormats="0" applyWidthHeightFormats="1" dataCaption="Values" updatedVersion="6" minRefreshableVersion="3" colGrandTotals="0" itemPrintTitles="1" createdVersion="6" indent="0" compact="0" compactData="0" multipleFieldFilters="0" fieldListSortAscending="1">
  <location ref="I8:M18" firstHeaderRow="1" firstDataRow="2" firstDataCol="2"/>
  <pivotFields count="6">
    <pivotField axis="axisRow" compact="0" numFmtId="167" outline="0" showAll="0" sortType="descending" defaultSubtotal="0">
      <items count="24">
        <item x="4"/>
        <item x="3"/>
        <item x="2"/>
        <item x="1"/>
        <item x="0"/>
        <item m="1" x="7"/>
        <item m="1" x="5"/>
        <item m="1" x="6"/>
        <item m="1" x="12"/>
        <item m="1" x="9"/>
        <item m="1" x="18"/>
        <item m="1" x="8"/>
        <item m="1" x="21"/>
        <item m="1" x="17"/>
        <item m="1" x="19"/>
        <item m="1" x="20"/>
        <item m="1" x="23"/>
        <item m="1" x="15"/>
        <item m="1" x="11"/>
        <item m="1" x="22"/>
        <item m="1" x="13"/>
        <item m="1" x="14"/>
        <item m="1" x="10"/>
        <item m="1" x="16"/>
      </items>
    </pivotField>
    <pivotField axis="axisRow" compact="0" outline="0" showAll="0">
      <items count="4">
        <item x="0"/>
        <item x="1"/>
        <item x="2"/>
        <item t="default"/>
      </items>
    </pivotField>
    <pivotField name="Betraege" axis="axisCol" compact="0" outline="0" showAll="0">
      <items count="4">
        <item x="2"/>
        <item x="0"/>
        <item x="1"/>
        <item t="default"/>
      </items>
    </pivotField>
    <pivotField compact="0" outline="0" showAll="0"/>
    <pivotField compact="0" outline="0" showAll="0" defaultSubtotal="0"/>
    <pivotField dataField="1" compact="0" outline="0" showAll="0"/>
  </pivotFields>
  <rowFields count="2">
    <field x="0"/>
    <field x="1"/>
  </rowFields>
  <rowItems count="9">
    <i>
      <x/>
      <x/>
    </i>
    <i>
      <x v="1"/>
      <x/>
    </i>
    <i>
      <x v="2"/>
      <x/>
    </i>
    <i r="1">
      <x v="1"/>
    </i>
    <i r="1">
      <x v="2"/>
    </i>
    <i>
      <x v="3"/>
      <x/>
    </i>
    <i r="1">
      <x v="1"/>
    </i>
    <i>
      <x v="4"/>
      <x/>
    </i>
    <i t="grand">
      <x/>
    </i>
  </rowItems>
  <colFields count="1">
    <field x="2"/>
  </colFields>
  <colItems count="3">
    <i>
      <x/>
    </i>
    <i>
      <x v="1"/>
    </i>
    <i>
      <x v="2"/>
    </i>
  </colItems>
  <dataFields count="1">
    <dataField name="Geld" fld="5" baseField="1" baseItem="1" numFmtId="8"/>
  </dataFields>
  <formats count="14">
    <format dxfId="331">
      <pivotArea grandCol="1" outline="0" collapsedLevelsAreSubtotals="1" fieldPosition="0"/>
    </format>
    <format dxfId="330">
      <pivotArea grandCol="1" outline="0" collapsedLevelsAreSubtotals="1" fieldPosition="0"/>
    </format>
    <format dxfId="329">
      <pivotArea type="all" dataOnly="0" outline="0" fieldPosition="0"/>
    </format>
    <format dxfId="328">
      <pivotArea outline="0" collapsedLevelsAreSubtotals="1" fieldPosition="0"/>
    </format>
    <format dxfId="327">
      <pivotArea type="origin" dataOnly="0" labelOnly="1" outline="0" fieldPosition="0"/>
    </format>
    <format dxfId="326">
      <pivotArea field="2" type="button" dataOnly="0" labelOnly="1" outline="0" axis="axisCol" fieldPosition="0"/>
    </format>
    <format dxfId="325">
      <pivotArea type="topRight" dataOnly="0" labelOnly="1" outline="0" fieldPosition="0"/>
    </format>
    <format dxfId="324">
      <pivotArea field="0" type="button" dataOnly="0" labelOnly="1" outline="0" axis="axisRow" fieldPosition="0"/>
    </format>
    <format dxfId="323">
      <pivotArea field="1" type="button" dataOnly="0" labelOnly="1" outline="0" axis="axisRow" fieldPosition="1"/>
    </format>
    <format dxfId="322">
      <pivotArea dataOnly="0" labelOnly="1" outline="0" fieldPosition="0">
        <references count="1">
          <reference field="0" count="0"/>
        </references>
      </pivotArea>
    </format>
    <format dxfId="321">
      <pivotArea dataOnly="0" labelOnly="1" grandRow="1" outline="0" fieldPosition="0"/>
    </format>
    <format dxfId="320">
      <pivotArea dataOnly="0" labelOnly="1" outline="0" fieldPosition="0">
        <references count="2">
          <reference field="0" count="1" selected="0">
            <x v="3"/>
          </reference>
          <reference field="1" count="0"/>
        </references>
      </pivotArea>
    </format>
    <format dxfId="319">
      <pivotArea dataOnly="0" labelOnly="1" outline="0" fieldPosition="0">
        <references count="2">
          <reference field="0" count="1" selected="0">
            <x v="4"/>
          </reference>
          <reference field="1" count="1">
            <x v="0"/>
          </reference>
        </references>
      </pivotArea>
    </format>
    <format dxfId="318">
      <pivotArea dataOnly="0" labelOnly="1" outline="0" fieldPosition="0">
        <references count="1">
          <reference field="2" count="0"/>
        </references>
      </pivotArea>
    </format>
  </formats>
  <pivotTableStyleInfo name="PivotStyleLight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150" applyNumberFormats="0" applyBorderFormats="0" applyFontFormats="0" applyPatternFormats="0" applyAlignmentFormats="0" applyWidthHeightFormats="1" dataCaption="Values" updatedVersion="6" minRefreshableVersion="3" showDrill="0" colGrandTotals="0" itemPrintTitles="1" createdVersion="6" indent="0" compact="0" compactData="0" multipleFieldFilters="0" rowHeaderCaption="Ranking" fieldListSortAscending="1">
  <location ref="B2:C6" firstHeaderRow="1" firstDataRow="1" firstDataCol="1"/>
  <pivotFields count="18">
    <pivotField compact="0" numFmtId="168"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descending" defaultSubtotal="0">
      <items count="3">
        <item x="2"/>
        <item x="1"/>
        <item x="0"/>
      </items>
      <autoSortScope>
        <pivotArea dataOnly="0" outline="0" fieldPosition="0">
          <references count="1">
            <reference field="4294967294" count="1" selected="0">
              <x v="0"/>
            </reference>
          </references>
        </pivotArea>
      </autoSortScope>
    </pivotField>
    <pivotField compact="0" outline="0" showAll="0" sortType="descending" defaultSubtotal="0"/>
    <pivotField dataField="1" showAll="0" sortType="descending" defaultSubtotal="0"/>
  </pivotFields>
  <rowFields count="1">
    <field x="15"/>
  </rowFields>
  <rowItems count="4">
    <i>
      <x v="2"/>
    </i>
    <i>
      <x v="1"/>
    </i>
    <i>
      <x/>
    </i>
    <i t="grand">
      <x/>
    </i>
  </rowItems>
  <colItems count="1">
    <i/>
  </colItems>
  <dataFields count="1">
    <dataField name="Pkt" fld="17" baseField="1" baseItem="0" numFmtId="169"/>
  </dataFields>
  <pivotTableStyleInfo name="Stats"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RunningTotal" cacheId="150" applyNumberFormats="0" applyBorderFormats="0" applyFontFormats="0" applyPatternFormats="0" applyAlignmentFormats="0" applyWidthHeightFormats="1" dataCaption="Values" updatedVersion="6" minRefreshableVersion="3" showDrill="0" colGrandTotals="0" itemPrintTitles="1" createdVersion="6" indent="0" compact="0" compactData="0" multipleFieldFilters="0" fieldListSortAscending="1">
  <location ref="N3:S41" firstHeaderRow="1" firstDataRow="2" firstDataCol="3" rowPageCount="1" colPageCount="1"/>
  <pivotFields count="18">
    <pivotField axis="axisRow" compact="0" outline="0" showAll="0" defaultSubtotal="0">
      <items count="42">
        <item h="1" m="1" x="27"/>
        <item h="1" m="1" x="15"/>
        <item h="1" m="1" x="22"/>
        <item h="1" m="1" x="21"/>
        <item h="1" m="1" x="40"/>
        <item h="1" m="1" x="17"/>
        <item h="1" m="1" x="23"/>
        <item h="1" m="1" x="41"/>
        <item h="1" m="1" x="36"/>
        <item h="1" m="1" x="35"/>
        <item h="1" m="1" x="31"/>
        <item h="1" m="1" x="38"/>
        <item h="1" m="1" x="12"/>
        <item h="1" m="1" x="32"/>
        <item h="1" m="1" x="13"/>
        <item h="1" m="1" x="18"/>
        <item h="1" m="1" x="7"/>
        <item h="1" m="1" x="5"/>
        <item h="1" m="1" x="9"/>
        <item h="1" x="0"/>
        <item h="1" x="1"/>
        <item h="1" x="2"/>
        <item h="1" m="1" x="34"/>
        <item h="1" m="1" x="14"/>
        <item h="1" m="1" x="29"/>
        <item h="1" m="1" x="8"/>
        <item h="1" m="1" x="25"/>
        <item h="1" m="1" x="39"/>
        <item h="1" m="1" x="19"/>
        <item h="1" m="1" x="33"/>
        <item h="1" m="1" x="11"/>
        <item h="1" m="1" x="28"/>
        <item h="1" m="1" x="6"/>
        <item h="1" m="1" x="24"/>
        <item h="1" m="1" x="37"/>
        <item h="1" m="1" x="16"/>
        <item h="1" m="1" x="30"/>
        <item h="1" m="1" x="10"/>
        <item h="1" m="1" x="26"/>
        <item h="1" m="1" x="20"/>
        <item h="1" x="3"/>
        <item x="4"/>
      </items>
    </pivotField>
    <pivotField axis="axisRow" compact="0" outline="0" showAll="0" defaultSubtotal="0">
      <items count="3">
        <item x="0"/>
        <item h="1" x="1"/>
        <item h="1" x="2"/>
      </items>
    </pivotField>
    <pivotField axis="axisRow" compact="0" outline="0" showAll="0" defaultSubtotal="0">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m="1" x="43"/>
        <item m="1" x="4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3">
        <item sd="0" x="2"/>
        <item sd="0" x="0"/>
        <item sd="0" x="1"/>
      </items>
    </pivotField>
    <pivotField axis="axisPage" compact="0" outline="0" multipleItemSelectionAllowed="1" showAll="0" sortType="descending" defaultSubtotal="0">
      <items count="2">
        <item x="0"/>
        <item h="1" sd="0" x="1"/>
      </items>
    </pivotField>
    <pivotField dataField="1" compact="0" outline="0" showAll="0" defaultSubtotal="0"/>
  </pivotFields>
  <rowFields count="3">
    <field x="0"/>
    <field x="1"/>
    <field x="2"/>
  </rowFields>
  <rowItems count="37">
    <i>
      <x v="41"/>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t="grand">
      <x/>
    </i>
  </rowItems>
  <colFields count="1">
    <field x="15"/>
  </colFields>
  <colItems count="3">
    <i>
      <x/>
    </i>
    <i>
      <x v="1"/>
    </i>
    <i>
      <x v="2"/>
    </i>
  </colItems>
  <pageFields count="1">
    <pageField fld="16" hier="-1"/>
  </pageFields>
  <dataFields count="1">
    <dataField name="RT" fld="17" showDataAs="runTotal" baseField="2" baseItem="0"/>
  </dataFields>
  <formats count="4">
    <format dxfId="260">
      <pivotArea outline="0" collapsedLevelsAreSubtotals="1" fieldPosition="0"/>
    </format>
    <format dxfId="261">
      <pivotArea field="15" type="button" dataOnly="0" labelOnly="1" outline="0" axis="axisCol" fieldPosition="0"/>
    </format>
    <format dxfId="262">
      <pivotArea type="topRight" dataOnly="0" labelOnly="1" outline="0" fieldPosition="0"/>
    </format>
    <format dxfId="263">
      <pivotArea dataOnly="0" labelOnly="1" outline="0" fieldPosition="0">
        <references count="1">
          <reference field="15" count="0"/>
        </references>
      </pivotArea>
    </format>
  </formats>
  <pivotTableStyleInfo name="PivotStyleLight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Details" cacheId="150" applyNumberFormats="0" applyBorderFormats="0" applyFontFormats="0" applyPatternFormats="0" applyAlignmentFormats="0" applyWidthHeightFormats="1" dataCaption="Values" showError="1" updatedVersion="6" minRefreshableVersion="3" colGrandTotals="0" itemPrintTitles="1" createdVersion="6" indent="0" compact="0" compactData="0" multipleFieldFilters="0" fieldListSortAscending="1">
  <location ref="C4:M41" firstHeaderRow="0" firstDataRow="1" firstDataCol="9" rowPageCount="1" colPageCount="1"/>
  <pivotFields count="18">
    <pivotField axis="axisRow" compact="0" outline="0" showAll="0" defaultSubtotal="0">
      <items count="42">
        <item h="1" m="1" x="27"/>
        <item h="1" m="1" x="15"/>
        <item h="1" m="1" x="22"/>
        <item h="1" m="1" x="21"/>
        <item h="1" m="1" x="40"/>
        <item h="1" m="1" x="17"/>
        <item h="1" m="1" x="23"/>
        <item h="1" m="1" x="41"/>
        <item h="1" m="1" x="36"/>
        <item h="1" m="1" x="35"/>
        <item h="1" m="1" x="31"/>
        <item h="1" m="1" x="38"/>
        <item h="1" m="1" x="12"/>
        <item h="1" m="1" x="32"/>
        <item h="1" m="1" x="13"/>
        <item h="1" m="1" x="18"/>
        <item h="1" m="1" x="7"/>
        <item h="1" m="1" x="5"/>
        <item h="1" m="1" x="9"/>
        <item h="1" x="0"/>
        <item h="1" x="1"/>
        <item h="1" x="2"/>
        <item h="1" m="1" x="34"/>
        <item h="1" m="1" x="14"/>
        <item h="1" m="1" x="29"/>
        <item h="1" m="1" x="8"/>
        <item h="1" m="1" x="25"/>
        <item h="1" m="1" x="39"/>
        <item h="1" m="1" x="19"/>
        <item h="1" m="1" x="33"/>
        <item h="1" m="1" x="11"/>
        <item h="1" m="1" x="28"/>
        <item h="1" m="1" x="6"/>
        <item h="1" m="1" x="24"/>
        <item h="1" m="1" x="37"/>
        <item h="1" m="1" x="16"/>
        <item h="1" m="1" x="30"/>
        <item h="1" m="1" x="10"/>
        <item h="1" m="1" x="26"/>
        <item h="1" m="1" x="20"/>
        <item h="1" x="3"/>
        <item x="4"/>
      </items>
    </pivotField>
    <pivotField axis="axisRow" compact="0" outline="0" showAll="0" defaultSubtotal="0">
      <items count="3">
        <item x="0"/>
        <item h="1" x="1"/>
        <item h="1" x="2"/>
      </items>
    </pivotField>
    <pivotField axis="axisRow" compact="0" outline="0" showAll="0" defaultSubtotal="0">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m="1" x="43"/>
        <item m="1" x="44"/>
      </items>
    </pivotField>
    <pivotField axis="axisRow" compact="0" outline="0" showAll="0" defaultSubtotal="0">
      <items count="7">
        <item x="0"/>
        <item x="4"/>
        <item x="6"/>
        <item x="5"/>
        <item x="2"/>
        <item x="1"/>
        <item x="3"/>
      </items>
    </pivotField>
    <pivotField axis="axisRow" compact="0" outline="0" showAll="0" defaultSubtotal="0">
      <items count="11">
        <item m="1" x="10"/>
        <item x="3"/>
        <item x="7"/>
        <item x="8"/>
        <item x="5"/>
        <item x="2"/>
        <item x="4"/>
        <item x="6"/>
        <item x="1"/>
        <item x="0"/>
        <item m="1" x="9"/>
      </items>
    </pivotField>
    <pivotField axis="axisRow" compact="0" outline="0" showAll="0" defaultSubtotal="0">
      <items count="9">
        <item x="1"/>
        <item x="4"/>
        <item x="5"/>
        <item sd="0" x="2"/>
        <item x="0"/>
        <item m="1" x="6"/>
        <item m="1" x="8"/>
        <item m="1" x="7"/>
        <item x="3"/>
      </items>
    </pivotField>
    <pivotField compact="0" outline="0" showAll="0" defaultSubtotal="0"/>
    <pivotField axis="axisRow" compact="0" outline="0" showAll="0" defaultSubtotal="0">
      <items count="2">
        <item x="0"/>
        <item x="1"/>
      </items>
    </pivotField>
    <pivotField compact="0" outline="0" showAll="0" defaultSubtotal="0"/>
    <pivotField axis="axisRow" compact="0" outline="0" showAll="0" defaultSubtotal="0">
      <items count="2">
        <item x="1"/>
        <item x="0"/>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axis="axisRow" compact="0" outline="0" showAll="0" defaultSubtotal="0">
      <items count="3">
        <item x="1"/>
        <item x="0"/>
        <item x="2"/>
      </items>
    </pivotField>
    <pivotField axis="axisPage" compact="0" outline="0" multipleItemSelectionAllowed="1" showAll="0" sortType="descending" defaultSubtotal="0">
      <items count="2">
        <item x="0"/>
        <item h="1" sd="0" x="1"/>
      </items>
    </pivotField>
    <pivotField dataField="1" compact="0" outline="0" showAll="0" defaultSubtotal="0"/>
  </pivotFields>
  <rowFields count="9">
    <field x="0"/>
    <field x="1"/>
    <field x="2"/>
    <field x="15"/>
    <field x="7"/>
    <field x="3"/>
    <field x="4"/>
    <field x="5"/>
    <field x="9"/>
  </rowFields>
  <rowItems count="37">
    <i>
      <x v="41"/>
      <x/>
      <x/>
      <x v="2"/>
      <x/>
      <x/>
      <x v="7"/>
      <x v="4"/>
      <x v="1"/>
    </i>
    <i r="2">
      <x v="1"/>
      <x v="1"/>
      <x/>
      <x v="1"/>
      <x v="4"/>
      <x/>
      <x v="1"/>
    </i>
    <i r="2">
      <x v="2"/>
      <x/>
      <x/>
      <x/>
      <x v="4"/>
      <x/>
      <x v="1"/>
    </i>
    <i r="2">
      <x v="3"/>
      <x v="1"/>
      <x/>
      <x v="3"/>
      <x v="3"/>
      <x/>
      <x v="1"/>
    </i>
    <i r="2">
      <x v="4"/>
      <x v="2"/>
      <x v="1"/>
      <x v="5"/>
      <x v="4"/>
      <x/>
      <x v="1"/>
    </i>
    <i r="2">
      <x v="5"/>
      <x/>
      <x v="1"/>
      <x v="5"/>
      <x v="4"/>
      <x/>
      <x v="1"/>
    </i>
    <i r="2">
      <x v="6"/>
      <x/>
      <x/>
      <x/>
      <x v="9"/>
      <x/>
      <x v="1"/>
    </i>
    <i r="2">
      <x v="7"/>
      <x v="2"/>
      <x/>
      <x v="3"/>
      <x v="9"/>
      <x v="4"/>
      <x v="1"/>
    </i>
    <i r="2">
      <x v="8"/>
      <x/>
      <x v="1"/>
      <x v="5"/>
      <x v="4"/>
      <x/>
      <x v="1"/>
    </i>
    <i r="2">
      <x v="9"/>
      <x v="1"/>
      <x/>
      <x v="5"/>
      <x v="6"/>
      <x/>
      <x v="1"/>
    </i>
    <i r="2">
      <x v="10"/>
      <x/>
      <x v="1"/>
      <x v="3"/>
      <x v="6"/>
      <x/>
      <x v="1"/>
    </i>
    <i r="2">
      <x v="11"/>
      <x/>
      <x v="1"/>
      <x v="4"/>
      <x v="5"/>
      <x/>
      <x/>
    </i>
    <i r="2">
      <x v="12"/>
      <x/>
      <x/>
      <x v="2"/>
      <x v="4"/>
      <x/>
      <x/>
    </i>
    <i r="2">
      <x v="13"/>
      <x/>
      <x v="1"/>
      <x v="2"/>
      <x v="4"/>
      <x/>
      <x/>
    </i>
    <i r="2">
      <x v="14"/>
      <x/>
      <x/>
      <x v="3"/>
      <x v="7"/>
      <x v="4"/>
      <x v="1"/>
    </i>
    <i r="2">
      <x v="15"/>
      <x v="1"/>
      <x/>
      <x v="3"/>
      <x v="4"/>
      <x/>
      <x v="1"/>
    </i>
    <i r="2">
      <x v="16"/>
      <x/>
      <x/>
      <x v="1"/>
      <x v="2"/>
      <x/>
      <x v="1"/>
    </i>
    <i r="2">
      <x v="17"/>
      <x v="1"/>
      <x v="1"/>
      <x v="4"/>
      <x v="5"/>
      <x/>
      <x v="1"/>
    </i>
    <i r="2">
      <x v="18"/>
      <x v="1"/>
      <x v="1"/>
      <x v="5"/>
      <x v="4"/>
      <x v="4"/>
      <x v="1"/>
    </i>
    <i r="2">
      <x v="19"/>
      <x v="1"/>
      <x/>
      <x v="5"/>
      <x v="7"/>
      <x/>
      <x/>
    </i>
    <i r="2">
      <x v="20"/>
      <x v="2"/>
      <x/>
      <x/>
      <x v="4"/>
      <x/>
      <x/>
    </i>
    <i r="2">
      <x v="21"/>
      <x/>
      <x/>
      <x v="2"/>
      <x v="2"/>
      <x/>
      <x/>
    </i>
    <i r="2">
      <x v="22"/>
      <x/>
      <x/>
      <x v="2"/>
      <x v="4"/>
      <x v="4"/>
      <x v="1"/>
    </i>
    <i r="2">
      <x v="23"/>
      <x v="2"/>
      <x/>
      <x v="3"/>
      <x v="6"/>
      <x v="4"/>
      <x v="1"/>
    </i>
    <i r="2">
      <x v="24"/>
      <x/>
      <x/>
      <x/>
      <x v="8"/>
      <x/>
      <x v="1"/>
    </i>
    <i r="2">
      <x v="25"/>
      <x v="2"/>
      <x v="1"/>
      <x v="4"/>
      <x v="5"/>
      <x/>
      <x v="1"/>
    </i>
    <i r="2">
      <x v="26"/>
      <x v="2"/>
      <x v="1"/>
      <x v="5"/>
      <x v="6"/>
      <x/>
      <x v="1"/>
    </i>
    <i r="2">
      <x v="27"/>
      <x v="2"/>
      <x v="1"/>
      <x v="5"/>
      <x v="3"/>
      <x/>
      <x v="1"/>
    </i>
    <i r="2">
      <x v="28"/>
      <x v="1"/>
      <x/>
      <x v="1"/>
      <x v="4"/>
      <x/>
      <x v="1"/>
    </i>
    <i r="2">
      <x v="29"/>
      <x v="1"/>
      <x/>
      <x v="3"/>
      <x v="4"/>
      <x/>
      <x v="1"/>
    </i>
    <i r="2">
      <x v="30"/>
      <x/>
      <x/>
      <x v="5"/>
      <x v="8"/>
      <x v="4"/>
      <x v="1"/>
    </i>
    <i r="2">
      <x v="31"/>
      <x v="1"/>
      <x/>
      <x/>
      <x v="9"/>
      <x/>
      <x v="1"/>
    </i>
    <i r="2">
      <x v="32"/>
      <x v="1"/>
      <x/>
      <x v="3"/>
      <x v="7"/>
      <x/>
      <x v="1"/>
    </i>
    <i r="2">
      <x v="33"/>
      <x v="1"/>
      <x v="1"/>
      <x v="5"/>
      <x v="3"/>
      <x/>
      <x v="1"/>
    </i>
    <i r="2">
      <x v="34"/>
      <x/>
      <x/>
      <x v="5"/>
      <x v="6"/>
      <x/>
      <x/>
    </i>
    <i r="2">
      <x v="35"/>
      <x/>
      <x v="1"/>
      <x v="6"/>
      <x v="5"/>
      <x/>
      <x/>
    </i>
    <i t="grand">
      <x/>
    </i>
  </rowItems>
  <colFields count="1">
    <field x="-2"/>
  </colFields>
  <colItems count="2">
    <i>
      <x/>
    </i>
    <i i="1">
      <x v="1"/>
    </i>
  </colItems>
  <pageFields count="1">
    <pageField fld="16" hier="-1"/>
  </pageFields>
  <dataFields count="2">
    <dataField name="Fakt" fld="14" baseField="0" baseItem="0"/>
    <dataField name="Pkt" fld="17" baseField="9" baseItem="1"/>
  </dataFields>
  <formats count="36">
    <format dxfId="224">
      <pivotArea field="0" type="button" dataOnly="0" labelOnly="1" outline="0" axis="axisRow" fieldPosition="0"/>
    </format>
    <format dxfId="225">
      <pivotArea field="1" type="button" dataOnly="0" labelOnly="1" outline="0" axis="axisRow" fieldPosition="1"/>
    </format>
    <format dxfId="226">
      <pivotArea field="2" type="button" dataOnly="0" labelOnly="1" outline="0" axis="axisRow" fieldPosition="2"/>
    </format>
    <format dxfId="227">
      <pivotArea field="15" type="button" dataOnly="0" labelOnly="1" outline="0" axis="axisRow" fieldPosition="3"/>
    </format>
    <format dxfId="228">
      <pivotArea field="7" type="button" dataOnly="0" labelOnly="1" outline="0" axis="axisRow" fieldPosition="4"/>
    </format>
    <format dxfId="229">
      <pivotArea field="3" type="button" dataOnly="0" labelOnly="1" outline="0" axis="axisRow" fieldPosition="5"/>
    </format>
    <format dxfId="230">
      <pivotArea field="4" type="button" dataOnly="0" labelOnly="1" outline="0" axis="axisRow" fieldPosition="6"/>
    </format>
    <format dxfId="231">
      <pivotArea field="5" type="button" dataOnly="0" labelOnly="1" outline="0" axis="axisRow" fieldPosition="7"/>
    </format>
    <format dxfId="232">
      <pivotArea field="9" type="button" dataOnly="0" labelOnly="1" outline="0" axis="axisRow" fieldPosition="8"/>
    </format>
    <format dxfId="233">
      <pivotArea dataOnly="0" labelOnly="1" outline="0" fieldPosition="0">
        <references count="1">
          <reference field="4294967294" count="2">
            <x v="0"/>
            <x v="1"/>
          </reference>
        </references>
      </pivotArea>
    </format>
    <format dxfId="234">
      <pivotArea field="0" type="button" dataOnly="0" labelOnly="1" outline="0" axis="axisRow" fieldPosition="0"/>
    </format>
    <format dxfId="235">
      <pivotArea field="1" type="button" dataOnly="0" labelOnly="1" outline="0" axis="axisRow" fieldPosition="1"/>
    </format>
    <format dxfId="236">
      <pivotArea field="2" type="button" dataOnly="0" labelOnly="1" outline="0" axis="axisRow" fieldPosition="2"/>
    </format>
    <format dxfId="237">
      <pivotArea field="15" type="button" dataOnly="0" labelOnly="1" outline="0" axis="axisRow" fieldPosition="3"/>
    </format>
    <format dxfId="238">
      <pivotArea field="7" type="button" dataOnly="0" labelOnly="1" outline="0" axis="axisRow" fieldPosition="4"/>
    </format>
    <format dxfId="239">
      <pivotArea field="3" type="button" dataOnly="0" labelOnly="1" outline="0" axis="axisRow" fieldPosition="5"/>
    </format>
    <format dxfId="240">
      <pivotArea field="4" type="button" dataOnly="0" labelOnly="1" outline="0" axis="axisRow" fieldPosition="6"/>
    </format>
    <format dxfId="241">
      <pivotArea field="5" type="button" dataOnly="0" labelOnly="1" outline="0" axis="axisRow" fieldPosition="7"/>
    </format>
    <format dxfId="242">
      <pivotArea field="9" type="button" dataOnly="0" labelOnly="1" outline="0" axis="axisRow" fieldPosition="8"/>
    </format>
    <format dxfId="243">
      <pivotArea dataOnly="0" labelOnly="1" outline="0" fieldPosition="0">
        <references count="1">
          <reference field="4294967294" count="2">
            <x v="0"/>
            <x v="1"/>
          </reference>
        </references>
      </pivotArea>
    </format>
    <format dxfId="244">
      <pivotArea field="0" type="button" dataOnly="0" labelOnly="1" outline="0" axis="axisRow" fieldPosition="0"/>
    </format>
    <format dxfId="245">
      <pivotArea field="1" type="button" dataOnly="0" labelOnly="1" outline="0" axis="axisRow" fieldPosition="1"/>
    </format>
    <format dxfId="246">
      <pivotArea field="2" type="button" dataOnly="0" labelOnly="1" outline="0" axis="axisRow" fieldPosition="2"/>
    </format>
    <format dxfId="247">
      <pivotArea field="15" type="button" dataOnly="0" labelOnly="1" outline="0" axis="axisRow" fieldPosition="3"/>
    </format>
    <format dxfId="248">
      <pivotArea field="7" type="button" dataOnly="0" labelOnly="1" outline="0" axis="axisRow" fieldPosition="4"/>
    </format>
    <format dxfId="249">
      <pivotArea field="3" type="button" dataOnly="0" labelOnly="1" outline="0" axis="axisRow" fieldPosition="5"/>
    </format>
    <format dxfId="250">
      <pivotArea field="4" type="button" dataOnly="0" labelOnly="1" outline="0" axis="axisRow" fieldPosition="6"/>
    </format>
    <format dxfId="251">
      <pivotArea field="5" type="button" dataOnly="0" labelOnly="1" outline="0" axis="axisRow" fieldPosition="7"/>
    </format>
    <format dxfId="252">
      <pivotArea field="9" type="button" dataOnly="0" labelOnly="1" outline="0" axis="axisRow" fieldPosition="8"/>
    </format>
    <format dxfId="253">
      <pivotArea dataOnly="0" labelOnly="1" outline="0" fieldPosition="0">
        <references count="1">
          <reference field="4294967294" count="2">
            <x v="0"/>
            <x v="1"/>
          </reference>
        </references>
      </pivotArea>
    </format>
    <format dxfId="254">
      <pivotArea outline="0" collapsedLevelsAreSubtotals="1" fieldPosition="0">
        <references count="1">
          <reference field="4294967294" count="1" selected="0">
            <x v="0"/>
          </reference>
        </references>
      </pivotArea>
    </format>
    <format dxfId="255">
      <pivotArea dataOnly="0" labelOnly="1" outline="0" fieldPosition="0">
        <references count="1">
          <reference field="4294967294" count="1">
            <x v="0"/>
          </reference>
        </references>
      </pivotArea>
    </format>
    <format dxfId="256">
      <pivotArea outline="0" collapsedLevelsAreSubtotals="1" fieldPosition="0">
        <references count="1">
          <reference field="4294967294" count="1" selected="0">
            <x v="0"/>
          </reference>
        </references>
      </pivotArea>
    </format>
    <format dxfId="257">
      <pivotArea dataOnly="0" labelOnly="1" outline="0" fieldPosition="0">
        <references count="1">
          <reference field="4294967294" count="1">
            <x v="0"/>
          </reference>
        </references>
      </pivotArea>
    </format>
    <format dxfId="258">
      <pivotArea outline="0" collapsedLevelsAreSubtotals="1" fieldPosition="0">
        <references count="1">
          <reference field="4294967294" count="1" selected="0">
            <x v="0"/>
          </reference>
        </references>
      </pivotArea>
    </format>
    <format dxfId="259">
      <pivotArea dataOnly="0" labelOnly="1" outline="0" fieldPosition="0">
        <references count="1">
          <reference field="4294967294" count="1">
            <x v="0"/>
          </reference>
        </references>
      </pivotArea>
    </format>
  </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4" cacheId="152" dataPosition="0" applyNumberFormats="0" applyBorderFormats="0" applyFontFormats="0" applyPatternFormats="0" applyAlignmentFormats="0" applyWidthHeightFormats="1" dataCaption="Values" updatedVersion="6" minRefreshableVersion="3" showDrill="0" colGrandTotals="0" itemPrintTitles="1" mergeItem="1" createdVersion="6" indent="0" compact="0" compactData="0" multipleFieldFilters="0" fieldListSortAscending="1">
  <location ref="B2:N8" firstHeaderRow="1" firstDataRow="3" firstDataCol="1"/>
  <pivotFields count="20">
    <pivotField compact="0" outline="0" showAll="0" defaultSubtotal="0"/>
    <pivotField compact="0" outline="0" showAll="0" defaultSubtotal="0"/>
    <pivotField dataField="1" compact="0" outline="0" showAll="0" defaultSubtotal="0"/>
    <pivotField compact="0" outline="0" showAll="0" defaultSubtotal="0">
      <items count="7">
        <item x="0"/>
        <item x="4"/>
        <item x="6"/>
        <item x="5"/>
        <item x="2"/>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3">
        <item x="2"/>
        <item x="0"/>
        <item x="1"/>
      </items>
    </pivotField>
    <pivotField dataField="1" compact="0" outline="0" showAll="0" defaultSubtotal="0"/>
    <pivotField compact="0" outline="0" showAll="0" defaultSubtotal="0"/>
    <pivotField axis="axisRow" compact="0" outline="0" showAll="0" defaultSubtotal="0">
      <items count="3">
        <item x="0"/>
        <item sd="0" x="2"/>
        <item sd="0" x="1"/>
      </items>
    </pivotField>
    <pivotField dataField="1" compact="0" outline="0" showAll="0" defaultSubtotal="0"/>
  </pivotFields>
  <rowFields count="1">
    <field x="18"/>
  </rowFields>
  <rowItems count="4">
    <i>
      <x/>
    </i>
    <i>
      <x v="1"/>
    </i>
    <i>
      <x v="2"/>
    </i>
    <i t="grand">
      <x/>
    </i>
  </rowItems>
  <colFields count="2">
    <field x="15"/>
    <field x="-2"/>
  </colFields>
  <colItems count="12">
    <i>
      <x/>
      <x/>
    </i>
    <i r="1" i="1">
      <x v="1"/>
    </i>
    <i r="1" i="2">
      <x v="2"/>
    </i>
    <i r="1" i="3">
      <x v="3"/>
    </i>
    <i>
      <x v="1"/>
      <x/>
    </i>
    <i r="1" i="1">
      <x v="1"/>
    </i>
    <i r="1" i="2">
      <x v="2"/>
    </i>
    <i r="1" i="3">
      <x v="3"/>
    </i>
    <i>
      <x v="2"/>
      <x/>
    </i>
    <i r="1" i="1">
      <x v="1"/>
    </i>
    <i r="1" i="2">
      <x v="2"/>
    </i>
    <i r="1" i="3">
      <x v="3"/>
    </i>
  </colItems>
  <dataFields count="4">
    <dataField name="Spiele" fld="2" subtotal="count" baseField="4" baseItem="0"/>
    <dataField name="Punkte" fld="16" baseField="4" baseItem="3" numFmtId="169"/>
    <dataField name="Bewertung" fld="19" baseField="4" baseItem="5" numFmtId="169"/>
    <dataField name="%" fld="19" showDataAs="percentOfCol" baseField="4" baseItem="2" numFmtId="9"/>
  </dataFields>
  <formats count="14">
    <format dxfId="289">
      <pivotArea field="18" type="button" dataOnly="0" labelOnly="1" outline="0" axis="axisRow" fieldPosition="0"/>
    </format>
    <format dxfId="288">
      <pivotArea field="3" type="button" dataOnly="0" labelOnly="1" outline="0"/>
    </format>
    <format dxfId="287">
      <pivotArea dataOnly="0" labelOnly="1" outline="0" fieldPosition="0">
        <references count="2">
          <reference field="4294967294" count="4">
            <x v="0"/>
            <x v="1"/>
            <x v="2"/>
            <x v="3"/>
          </reference>
          <reference field="15" count="1" selected="0">
            <x v="0"/>
          </reference>
        </references>
      </pivotArea>
    </format>
    <format dxfId="286">
      <pivotArea dataOnly="0" labelOnly="1" outline="0" fieldPosition="0">
        <references count="2">
          <reference field="4294967294" count="4">
            <x v="0"/>
            <x v="1"/>
            <x v="2"/>
            <x v="3"/>
          </reference>
          <reference field="15" count="1" selected="0">
            <x v="1"/>
          </reference>
        </references>
      </pivotArea>
    </format>
    <format dxfId="285">
      <pivotArea dataOnly="0" labelOnly="1" outline="0" fieldPosition="0">
        <references count="2">
          <reference field="4294967294" count="4">
            <x v="0"/>
            <x v="1"/>
            <x v="2"/>
            <x v="3"/>
          </reference>
          <reference field="15" count="1" selected="0">
            <x v="2"/>
          </reference>
        </references>
      </pivotArea>
    </format>
    <format dxfId="284">
      <pivotArea outline="0" fieldPosition="0">
        <references count="1">
          <reference field="4294967294" count="1">
            <x v="3"/>
          </reference>
        </references>
      </pivotArea>
    </format>
    <format dxfId="283">
      <pivotArea type="origin" dataOnly="0" labelOnly="1" outline="0" fieldPosition="0"/>
    </format>
    <format dxfId="282">
      <pivotArea field="18" type="button" dataOnly="0" labelOnly="1" outline="0" axis="axisRow" fieldPosition="0"/>
    </format>
    <format dxfId="281">
      <pivotArea dataOnly="0" labelOnly="1" outline="0" fieldPosition="0">
        <references count="1">
          <reference field="18" count="0"/>
        </references>
      </pivotArea>
    </format>
    <format dxfId="280">
      <pivotArea dataOnly="0" labelOnly="1" grandRow="1" outline="0" fieldPosition="0"/>
    </format>
    <format dxfId="279">
      <pivotArea type="origin" dataOnly="0" labelOnly="1" outline="0" fieldPosition="0"/>
    </format>
    <format dxfId="278">
      <pivotArea field="18" type="button" dataOnly="0" labelOnly="1" outline="0" axis="axisRow" fieldPosition="0"/>
    </format>
    <format dxfId="277">
      <pivotArea dataOnly="0" labelOnly="1" outline="0" fieldPosition="0">
        <references count="1">
          <reference field="18" count="0"/>
        </references>
      </pivotArea>
    </format>
    <format dxfId="276">
      <pivotArea dataOnly="0" labelOnly="1" grandRow="1" outline="0" fieldPosition="0"/>
    </format>
  </formats>
  <pivotTableStyleInfo name="Stats"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6" cacheId="152" dataPosition="0" applyNumberFormats="0" applyBorderFormats="0" applyFontFormats="0" applyPatternFormats="0" applyAlignmentFormats="0" applyWidthHeightFormats="1" dataCaption="Values" updatedVersion="6" minRefreshableVersion="3" showDrill="0" colGrandTotals="0" itemPrintTitles="1" mergeItem="1" createdVersion="6" indent="0" compact="0" compactData="0" multipleFieldFilters="0" fieldListSortAscending="1">
  <location ref="B22:N34" firstHeaderRow="1" firstDataRow="3" firstDataCol="1"/>
  <pivotFields count="20">
    <pivotField compact="0" outline="0" showAll="0" defaultSubtotal="0"/>
    <pivotField compact="0" outline="0" showAll="0" defaultSubtotal="0"/>
    <pivotField dataField="1" compact="0" outline="0" showAll="0" defaultSubtotal="0"/>
    <pivotField compact="0" outline="0" showAll="0" defaultSubtotal="0">
      <items count="7">
        <item x="0"/>
        <item x="5"/>
        <item x="1"/>
        <item x="4"/>
        <item x="6"/>
        <item x="2"/>
        <item x="3"/>
      </items>
    </pivotField>
    <pivotField axis="axisRow" compact="0" outline="0" showAll="0" defaultSubtotal="0">
      <items count="12">
        <item m="1" x="10"/>
        <item x="3"/>
        <item x="7"/>
        <item x="8"/>
        <item x="5"/>
        <item x="2"/>
        <item x="4"/>
        <item x="6"/>
        <item x="1"/>
        <item x="0"/>
        <item m="1" x="9"/>
        <item m="1" x="1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3">
        <item x="2"/>
        <item x="0"/>
        <item x="1"/>
      </items>
    </pivotField>
    <pivotField dataField="1" compact="0" outline="0" showAll="0" defaultSubtotal="0"/>
    <pivotField compact="0" outline="0" showAll="0" defaultSubtotal="0"/>
    <pivotField compact="0" outline="0" showAll="0" defaultSubtotal="0">
      <items count="3">
        <item x="0"/>
        <item sd="0" x="2"/>
        <item sd="0" x="1"/>
      </items>
    </pivotField>
    <pivotField dataField="1" compact="0" outline="0" showAll="0" defaultSubtotal="0"/>
  </pivotFields>
  <rowFields count="1">
    <field x="4"/>
  </rowFields>
  <rowItems count="10">
    <i>
      <x v="1"/>
    </i>
    <i>
      <x v="2"/>
    </i>
    <i>
      <x v="3"/>
    </i>
    <i>
      <x v="4"/>
    </i>
    <i>
      <x v="5"/>
    </i>
    <i>
      <x v="6"/>
    </i>
    <i>
      <x v="7"/>
    </i>
    <i>
      <x v="8"/>
    </i>
    <i>
      <x v="9"/>
    </i>
    <i t="grand">
      <x/>
    </i>
  </rowItems>
  <colFields count="2">
    <field x="15"/>
    <field x="-2"/>
  </colFields>
  <colItems count="12">
    <i>
      <x/>
      <x/>
    </i>
    <i r="1" i="1">
      <x v="1"/>
    </i>
    <i r="1" i="2">
      <x v="2"/>
    </i>
    <i r="1" i="3">
      <x v="3"/>
    </i>
    <i>
      <x v="1"/>
      <x/>
    </i>
    <i r="1" i="1">
      <x v="1"/>
    </i>
    <i r="1" i="2">
      <x v="2"/>
    </i>
    <i r="1" i="3">
      <x v="3"/>
    </i>
    <i>
      <x v="2"/>
      <x/>
    </i>
    <i r="1" i="1">
      <x v="1"/>
    </i>
    <i r="1" i="2">
      <x v="2"/>
    </i>
    <i r="1" i="3">
      <x v="3"/>
    </i>
  </colItems>
  <dataFields count="4">
    <dataField name="Spiele" fld="2" subtotal="count" baseField="4" baseItem="0"/>
    <dataField name="Punkte" fld="16" baseField="4" baseItem="3" numFmtId="169"/>
    <dataField name="Bewertung" fld="19" baseField="4" baseItem="5" numFmtId="169"/>
    <dataField name="%" fld="19" showDataAs="percentOfCol" baseField="4" baseItem="2" numFmtId="9"/>
  </dataFields>
  <formats count="14">
    <format dxfId="303">
      <pivotArea field="18" type="button" dataOnly="0" labelOnly="1" outline="0"/>
    </format>
    <format dxfId="302">
      <pivotArea field="3" type="button" dataOnly="0" labelOnly="1" outline="0"/>
    </format>
    <format dxfId="301">
      <pivotArea dataOnly="0" labelOnly="1" outline="0" fieldPosition="0">
        <references count="2">
          <reference field="4294967294" count="4">
            <x v="0"/>
            <x v="1"/>
            <x v="2"/>
            <x v="3"/>
          </reference>
          <reference field="15" count="1" selected="0">
            <x v="0"/>
          </reference>
        </references>
      </pivotArea>
    </format>
    <format dxfId="300">
      <pivotArea dataOnly="0" labelOnly="1" outline="0" fieldPosition="0">
        <references count="2">
          <reference field="4294967294" count="4">
            <x v="0"/>
            <x v="1"/>
            <x v="2"/>
            <x v="3"/>
          </reference>
          <reference field="15" count="1" selected="0">
            <x v="1"/>
          </reference>
        </references>
      </pivotArea>
    </format>
    <format dxfId="299">
      <pivotArea dataOnly="0" labelOnly="1" outline="0" fieldPosition="0">
        <references count="2">
          <reference field="4294967294" count="4">
            <x v="0"/>
            <x v="1"/>
            <x v="2"/>
            <x v="3"/>
          </reference>
          <reference field="15" count="1" selected="0">
            <x v="2"/>
          </reference>
        </references>
      </pivotArea>
    </format>
    <format dxfId="298">
      <pivotArea outline="0" fieldPosition="0">
        <references count="1">
          <reference field="4294967294" count="1">
            <x v="3"/>
          </reference>
        </references>
      </pivotArea>
    </format>
    <format dxfId="297">
      <pivotArea type="origin" dataOnly="0" labelOnly="1" outline="0" fieldPosition="0"/>
    </format>
    <format dxfId="296">
      <pivotArea field="4" type="button" dataOnly="0" labelOnly="1" outline="0" axis="axisRow" fieldPosition="0"/>
    </format>
    <format dxfId="295">
      <pivotArea dataOnly="0" labelOnly="1" outline="0" fieldPosition="0">
        <references count="1">
          <reference field="4" count="0"/>
        </references>
      </pivotArea>
    </format>
    <format dxfId="294">
      <pivotArea dataOnly="0" labelOnly="1" grandRow="1" outline="0" fieldPosition="0"/>
    </format>
    <format dxfId="293">
      <pivotArea type="origin" dataOnly="0" labelOnly="1" outline="0" fieldPosition="0"/>
    </format>
    <format dxfId="292">
      <pivotArea field="4" type="button" dataOnly="0" labelOnly="1" outline="0" axis="axisRow" fieldPosition="0"/>
    </format>
    <format dxfId="291">
      <pivotArea dataOnly="0" labelOnly="1" outline="0" fieldPosition="0">
        <references count="1">
          <reference field="4" count="0"/>
        </references>
      </pivotArea>
    </format>
    <format dxfId="290">
      <pivotArea dataOnly="0" labelOnly="1" grandRow="1" outline="0" fieldPosition="0"/>
    </format>
  </formats>
  <pivotTableStyleInfo name="Stats"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5" cacheId="152" dataPosition="0" applyNumberFormats="0" applyBorderFormats="0" applyFontFormats="0" applyPatternFormats="0" applyAlignmentFormats="0" applyWidthHeightFormats="1" dataCaption="Values" updatedVersion="6" minRefreshableVersion="3" showDrill="0" colGrandTotals="0" itemPrintTitles="1" mergeItem="1" createdVersion="6" indent="0" compact="0" compactData="0" multipleFieldFilters="0" fieldListSortAscending="1">
  <location ref="B10:N20" firstHeaderRow="1" firstDataRow="3" firstDataCol="1"/>
  <pivotFields count="20">
    <pivotField compact="0" outline="0" showAll="0" defaultSubtotal="0"/>
    <pivotField compact="0" outline="0" showAll="0" defaultSubtotal="0"/>
    <pivotField dataField="1" compact="0" outline="0" showAll="0" defaultSubtotal="0"/>
    <pivotField axis="axisRow" compact="0" outline="0" showAll="0" defaultSubtotal="0">
      <items count="7">
        <item x="0"/>
        <item x="5"/>
        <item x="1"/>
        <item x="4"/>
        <item x="6"/>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3">
        <item x="2"/>
        <item x="0"/>
        <item x="1"/>
      </items>
    </pivotField>
    <pivotField dataField="1" compact="0" outline="0" showAll="0" defaultSubtotal="0"/>
    <pivotField compact="0" outline="0" showAll="0" defaultSubtotal="0"/>
    <pivotField compact="0" outline="0" showAll="0" defaultSubtotal="0">
      <items count="3">
        <item x="0"/>
        <item sd="0" x="2"/>
        <item sd="0" x="1"/>
      </items>
    </pivotField>
    <pivotField dataField="1" compact="0" outline="0" showAll="0" defaultSubtotal="0"/>
  </pivotFields>
  <rowFields count="1">
    <field x="3"/>
  </rowFields>
  <rowItems count="8">
    <i>
      <x/>
    </i>
    <i>
      <x v="1"/>
    </i>
    <i>
      <x v="2"/>
    </i>
    <i>
      <x v="3"/>
    </i>
    <i>
      <x v="4"/>
    </i>
    <i>
      <x v="5"/>
    </i>
    <i>
      <x v="6"/>
    </i>
    <i t="grand">
      <x/>
    </i>
  </rowItems>
  <colFields count="2">
    <field x="15"/>
    <field x="-2"/>
  </colFields>
  <colItems count="12">
    <i>
      <x/>
      <x/>
    </i>
    <i r="1" i="1">
      <x v="1"/>
    </i>
    <i r="1" i="2">
      <x v="2"/>
    </i>
    <i r="1" i="3">
      <x v="3"/>
    </i>
    <i>
      <x v="1"/>
      <x/>
    </i>
    <i r="1" i="1">
      <x v="1"/>
    </i>
    <i r="1" i="2">
      <x v="2"/>
    </i>
    <i r="1" i="3">
      <x v="3"/>
    </i>
    <i>
      <x v="2"/>
      <x/>
    </i>
    <i r="1" i="1">
      <x v="1"/>
    </i>
    <i r="1" i="2">
      <x v="2"/>
    </i>
    <i r="1" i="3">
      <x v="3"/>
    </i>
  </colItems>
  <dataFields count="4">
    <dataField name="Spiele" fld="2" subtotal="count" baseField="4" baseItem="0"/>
    <dataField name="Punkte" fld="16" baseField="4" baseItem="3" numFmtId="169"/>
    <dataField name="Bewertung" fld="19" baseField="4" baseItem="5" numFmtId="169"/>
    <dataField name="%" fld="19" showDataAs="percentOfCol" baseField="4" baseItem="2" numFmtId="9"/>
  </dataFields>
  <formats count="14">
    <format dxfId="317">
      <pivotArea field="18" type="button" dataOnly="0" labelOnly="1" outline="0"/>
    </format>
    <format dxfId="316">
      <pivotArea field="3" type="button" dataOnly="0" labelOnly="1" outline="0" axis="axisRow" fieldPosition="0"/>
    </format>
    <format dxfId="315">
      <pivotArea dataOnly="0" labelOnly="1" outline="0" fieldPosition="0">
        <references count="2">
          <reference field="4294967294" count="4">
            <x v="0"/>
            <x v="1"/>
            <x v="2"/>
            <x v="3"/>
          </reference>
          <reference field="15" count="1" selected="0">
            <x v="0"/>
          </reference>
        </references>
      </pivotArea>
    </format>
    <format dxfId="314">
      <pivotArea dataOnly="0" labelOnly="1" outline="0" fieldPosition="0">
        <references count="2">
          <reference field="4294967294" count="4">
            <x v="0"/>
            <x v="1"/>
            <x v="2"/>
            <x v="3"/>
          </reference>
          <reference field="15" count="1" selected="0">
            <x v="1"/>
          </reference>
        </references>
      </pivotArea>
    </format>
    <format dxfId="313">
      <pivotArea dataOnly="0" labelOnly="1" outline="0" fieldPosition="0">
        <references count="2">
          <reference field="4294967294" count="4">
            <x v="0"/>
            <x v="1"/>
            <x v="2"/>
            <x v="3"/>
          </reference>
          <reference field="15" count="1" selected="0">
            <x v="2"/>
          </reference>
        </references>
      </pivotArea>
    </format>
    <format dxfId="312">
      <pivotArea outline="0" fieldPosition="0">
        <references count="1">
          <reference field="4294967294" count="1">
            <x v="3"/>
          </reference>
        </references>
      </pivotArea>
    </format>
    <format dxfId="311">
      <pivotArea type="origin" dataOnly="0" labelOnly="1" outline="0" fieldPosition="0"/>
    </format>
    <format dxfId="310">
      <pivotArea field="3" type="button" dataOnly="0" labelOnly="1" outline="0" axis="axisRow" fieldPosition="0"/>
    </format>
    <format dxfId="309">
      <pivotArea dataOnly="0" labelOnly="1" outline="0" fieldPosition="0">
        <references count="1">
          <reference field="3" count="0"/>
        </references>
      </pivotArea>
    </format>
    <format dxfId="308">
      <pivotArea dataOnly="0" labelOnly="1" grandRow="1" outline="0" fieldPosition="0"/>
    </format>
    <format dxfId="307">
      <pivotArea type="origin" dataOnly="0" labelOnly="1" outline="0" fieldPosition="0"/>
    </format>
    <format dxfId="306">
      <pivotArea field="3" type="button" dataOnly="0" labelOnly="1" outline="0" axis="axisRow" fieldPosition="0"/>
    </format>
    <format dxfId="305">
      <pivotArea dataOnly="0" labelOnly="1" outline="0" fieldPosition="0">
        <references count="1">
          <reference field="3" count="0"/>
        </references>
      </pivotArea>
    </format>
    <format dxfId="304">
      <pivotArea dataOnly="0" labelOnly="1" grandRow="1" outline="0" fieldPosition="0"/>
    </format>
  </formats>
  <pivotTableStyleInfo name="Stats"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7" cacheId="152" dataPosition="0" applyNumberFormats="0" applyBorderFormats="0" applyFontFormats="0" applyPatternFormats="0" applyAlignmentFormats="0" applyWidthHeightFormats="1" dataCaption="Values" updatedVersion="6" minRefreshableVersion="3" showDrill="0" colGrandTotals="0" itemPrintTitles="1" mergeItem="1" createdVersion="6" indent="0" compact="0" compactData="0" multipleFieldFilters="0" chartFormat="3" fieldListSortAscending="1">
  <location ref="A1:D8" firstHeaderRow="1" firstDataRow="2" firstDataCol="1"/>
  <pivotFields count="20">
    <pivotField axis="axisRow" compact="0" outline="0" showAll="0" defaultSubtotal="0">
      <items count="24">
        <item m="1" x="16"/>
        <item m="1" x="10"/>
        <item m="1" x="14"/>
        <item m="1" x="13"/>
        <item m="1" x="22"/>
        <item m="1" x="11"/>
        <item m="1" x="15"/>
        <item m="1" x="23"/>
        <item m="1" x="20"/>
        <item m="1" x="19"/>
        <item m="1" x="17"/>
        <item m="1" x="21"/>
        <item m="1" x="8"/>
        <item m="1" x="18"/>
        <item m="1" x="9"/>
        <item m="1" x="12"/>
        <item m="1" x="6"/>
        <item m="1" x="5"/>
        <item m="1" x="7"/>
        <item x="0"/>
        <item x="1"/>
        <item x="2"/>
        <item x="3"/>
        <item x="4"/>
      </items>
    </pivotField>
    <pivotField compact="0" outline="0" showAll="0" defaultSubtotal="0"/>
    <pivotField compact="0" outline="0" showAll="0" defaultSubtotal="0"/>
    <pivotField compact="0" outline="0" showAll="0" defaultSubtotal="0">
      <items count="7">
        <item x="0"/>
        <item x="4"/>
        <item x="6"/>
        <item x="5"/>
        <item x="2"/>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3">
        <item x="2"/>
        <item x="0"/>
        <item x="1"/>
      </items>
    </pivotField>
    <pivotField compact="0" outline="0" showAll="0" defaultSubtotal="0"/>
    <pivotField compact="0" outline="0" showAll="0" defaultSubtotal="0"/>
    <pivotField compact="0" outline="0" showAll="0" defaultSubtotal="0">
      <items count="3">
        <item x="0"/>
        <item sd="0" x="2"/>
        <item sd="0" x="1"/>
      </items>
    </pivotField>
    <pivotField dataField="1" compact="0" outline="0" showAll="0" defaultSubtotal="0"/>
  </pivotFields>
  <rowFields count="1">
    <field x="0"/>
  </rowFields>
  <rowItems count="6">
    <i>
      <x v="19"/>
    </i>
    <i>
      <x v="20"/>
    </i>
    <i>
      <x v="21"/>
    </i>
    <i>
      <x v="22"/>
    </i>
    <i>
      <x v="23"/>
    </i>
    <i t="grand">
      <x/>
    </i>
  </rowItems>
  <colFields count="1">
    <field x="15"/>
  </colFields>
  <colItems count="3">
    <i>
      <x/>
    </i>
    <i>
      <x v="1"/>
    </i>
    <i>
      <x v="2"/>
    </i>
  </colItems>
  <dataFields count="1">
    <dataField name="Bewertung" fld="19" showDataAs="runTotal" baseField="0" baseItem="0" numFmtId="169"/>
  </dataFields>
  <formats count="11">
    <format dxfId="275">
      <pivotArea field="18" type="button" dataOnly="0" labelOnly="1" outline="0"/>
    </format>
    <format dxfId="274">
      <pivotArea field="3" type="button" dataOnly="0" labelOnly="1" outline="0"/>
    </format>
    <format dxfId="273">
      <pivotArea dataOnly="0" labelOnly="1" outline="0" fieldPosition="0">
        <references count="2">
          <reference field="4294967294" count="1">
            <x v="0"/>
          </reference>
          <reference field="15" count="1" selected="0">
            <x v="0"/>
          </reference>
        </references>
      </pivotArea>
    </format>
    <format dxfId="272">
      <pivotArea dataOnly="0" labelOnly="1" outline="0" fieldPosition="0">
        <references count="2">
          <reference field="4294967294" count="1">
            <x v="0"/>
          </reference>
          <reference field="15" count="1" selected="0">
            <x v="1"/>
          </reference>
        </references>
      </pivotArea>
    </format>
    <format dxfId="271">
      <pivotArea dataOnly="0" labelOnly="1" outline="0" fieldPosition="0">
        <references count="2">
          <reference field="4294967294" count="1">
            <x v="0"/>
          </reference>
          <reference field="15" count="1" selected="0">
            <x v="2"/>
          </reference>
        </references>
      </pivotArea>
    </format>
    <format dxfId="270">
      <pivotArea type="origin" dataOnly="0" labelOnly="1" outline="0" fieldPosition="0"/>
    </format>
    <format dxfId="269">
      <pivotArea field="18" type="button" dataOnly="0" labelOnly="1" outline="0"/>
    </format>
    <format dxfId="268">
      <pivotArea dataOnly="0" labelOnly="1" grandRow="1" outline="0" fieldPosition="0"/>
    </format>
    <format dxfId="267">
      <pivotArea type="origin" dataOnly="0" labelOnly="1" outline="0" fieldPosition="0"/>
    </format>
    <format dxfId="266">
      <pivotArea field="18" type="button" dataOnly="0" labelOnly="1" outline="0"/>
    </format>
    <format dxfId="265">
      <pivotArea dataOnly="0" labelOnly="1" grandRow="1" outline="0" fieldPosition="0"/>
    </format>
  </formats>
  <chartFormats count="3">
    <chartFormat chart="2" format="3" series="1">
      <pivotArea type="data" outline="0" fieldPosition="0">
        <references count="2">
          <reference field="4294967294" count="1" selected="0">
            <x v="0"/>
          </reference>
          <reference field="15" count="1" selected="0">
            <x v="0"/>
          </reference>
        </references>
      </pivotArea>
    </chartFormat>
    <chartFormat chart="2" format="4" series="1">
      <pivotArea type="data" outline="0" fieldPosition="0">
        <references count="2">
          <reference field="4294967294" count="1" selected="0">
            <x v="0"/>
          </reference>
          <reference field="15" count="1" selected="0">
            <x v="1"/>
          </reference>
        </references>
      </pivotArea>
    </chartFormat>
    <chartFormat chart="2" format="5" series="1">
      <pivotArea type="data" outline="0" fieldPosition="0">
        <references count="2">
          <reference field="4294967294" count="1" selected="0">
            <x v="0"/>
          </reference>
          <reference field="15" count="1" selected="0">
            <x v="2"/>
          </reference>
        </references>
      </pivotArea>
    </chartFormat>
  </chartFormats>
  <pivotTableStyleInfo name="Stats"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um1" sourceName="Datum">
  <pivotTables>
    <pivotTable tabId="5" name="RunningTotal"/>
    <pivotTable tabId="5" name="Details"/>
  </pivotTables>
  <data>
    <tabular pivotCacheId="1" showMissing="0">
      <items count="42">
        <i x="0"/>
        <i x="1"/>
        <i x="2"/>
        <i x="3"/>
        <i x="4" s="1"/>
        <i x="20" nd="1"/>
        <i x="27" nd="1"/>
        <i x="15" nd="1"/>
        <i x="22" nd="1"/>
        <i x="21" nd="1"/>
        <i x="40" nd="1"/>
        <i x="17" nd="1"/>
        <i x="23" nd="1"/>
        <i x="41" nd="1"/>
        <i x="36" nd="1"/>
        <i x="35" nd="1"/>
        <i x="31" nd="1"/>
        <i x="38" nd="1"/>
        <i x="12" nd="1"/>
        <i x="32" nd="1"/>
        <i x="13" nd="1"/>
        <i x="18" nd="1"/>
        <i x="7" nd="1"/>
        <i x="5" nd="1"/>
        <i x="9" nd="1"/>
        <i x="34" nd="1"/>
        <i x="14" nd="1"/>
        <i x="29" nd="1"/>
        <i x="8" nd="1"/>
        <i x="25" nd="1"/>
        <i x="39" nd="1"/>
        <i x="19" nd="1"/>
        <i x="33" nd="1"/>
        <i x="11" nd="1"/>
        <i x="28" nd="1"/>
        <i x="6" nd="1"/>
        <i x="24" nd="1"/>
        <i x="37" nd="1"/>
        <i x="16" nd="1"/>
        <i x="30" nd="1"/>
        <i x="10" nd="1"/>
        <i x="2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unde1" sourceName="Runde">
  <pivotTables>
    <pivotTable tabId="5" name="RunningTotal"/>
    <pivotTable tabId="5" name="Details"/>
  </pivotTables>
  <data>
    <tabular pivotCacheId="1" showMissing="0">
      <items count="3">
        <i x="0" s="1"/>
        <i x="1" nd="1"/>
        <i x="2"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Datum" sourceName="Datum">
  <extLst>
    <x:ext xmlns:x15="http://schemas.microsoft.com/office/spreadsheetml/2010/11/main" uri="{2F2917AC-EB37-4324-AD4E-5DD8C200BD13}">
      <x15:tableSlicerCache tableId="1" column="1" sortOrder="descending"/>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Runde" sourceName="Runde">
  <extLst>
    <x:ext xmlns:x15="http://schemas.microsoft.com/office/spreadsheetml/2010/11/main" uri="{2F2917AC-EB37-4324-AD4E-5DD8C200BD13}">
      <x15:tableSlicerCache tableId="1" column="12"/>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um" cache="Slicer_Datum" caption="Datum" rowHeight="241300"/>
  <slicer name="Runde" cache="Slicer_Runde" caption="Runde"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Datum 1" cache="Slicer_Datum1" caption="Datum" startItem="2" rowHeight="241300"/>
  <slicer name="Runde 1" cache="Slicer_Runde1" caption="Runde" rowHeight="241300"/>
</slicers>
</file>

<file path=xl/tables/table1.xml><?xml version="1.0" encoding="utf-8"?>
<table xmlns="http://schemas.openxmlformats.org/spreadsheetml/2006/main" id="1" name="Games" displayName="Games" ref="A1:M233" totalsRowShown="0">
  <autoFilter ref="A1:M233">
    <filterColumn colId="0">
      <filters>
        <dateGroupItem year="2018" month="10" day="7" dateTimeGrouping="day"/>
      </filters>
    </filterColumn>
  </autoFilter>
  <tableColumns count="13">
    <tableColumn id="1" name="Datum" dataDxfId="339"/>
    <tableColumn id="12" name="Runde" dataDxfId="338" dataCellStyle="Comma"/>
    <tableColumn id="2" name="Spiel" dataDxfId="337"/>
    <tableColumn id="3" name="Grundwert" dataDxfId="336"/>
    <tableColumn id="8" name="Spitzen" dataDxfId="335"/>
    <tableColumn id="4" name="Gewinnstufe" dataDxfId="334"/>
    <tableColumn id="5" name="Alleinspieler" dataDxfId="264"/>
    <tableColumn id="6" name="Status" dataDxfId="333"/>
    <tableColumn id="7" name="Augen"/>
    <tableColumn id="9" name="Bockrunde" dataDxfId="332"/>
    <tableColumn id="10" name="Kontra"/>
    <tableColumn id="13" name="Re"/>
    <tableColumn id="11" name="Check">
      <calculatedColumnFormula>OR(AND(Games[[#This Row],[Status]]="G",Games[[#This Row],[Augen]]&gt;60),AND(Games[[#This Row],[Status]]="V",Games[[#This Row],[Augen]]&lt;=60),Games[[#This Row],[Grundwert]]="Ramsch",Games[[#This Row],[Grundwert]]="Null")</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Grundwerte" displayName="Grundwerte" ref="A1:C11" totalsRowShown="0">
  <autoFilter ref="A1:C11"/>
  <tableColumns count="3">
    <tableColumn id="2" name="Gespielt"/>
    <tableColumn id="3" name="Gewinnstufe"/>
    <tableColumn id="1" name="Grundwert"/>
  </tableColumns>
  <tableStyleInfo name="TableStyleMedium2" showFirstColumn="0" showLastColumn="0" showRowStripes="1" showColumnStripes="0"/>
</table>
</file>

<file path=xl/tables/table3.xml><?xml version="1.0" encoding="utf-8"?>
<table xmlns="http://schemas.openxmlformats.org/spreadsheetml/2006/main" id="4" name="Gewinnstufen" displayName="Gewinnstufen" ref="E1:F12" totalsRowShown="0">
  <autoFilter ref="E1:F12"/>
  <tableColumns count="2">
    <tableColumn id="1" name="Gewinnstufe"/>
    <tableColumn id="2" name="Gra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microsoft.com/office/2007/relationships/slicer" Target="../slicers/slicer2.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O25"/>
  <sheetViews>
    <sheetView showGridLines="0" tabSelected="1" workbookViewId="0">
      <pane xSplit="1" ySplit="9" topLeftCell="B10" activePane="bottomRight" state="frozen"/>
      <selection pane="topRight" activeCell="B1" sqref="B1"/>
      <selection pane="bottomLeft" activeCell="A10" sqref="A10"/>
      <selection pane="bottomRight" activeCell="E12" sqref="E12"/>
    </sheetView>
  </sheetViews>
  <sheetFormatPr defaultRowHeight="15" x14ac:dyDescent="0.25"/>
  <cols>
    <col min="1" max="1" width="2.85546875" customWidth="1"/>
    <col min="2" max="2" width="16.28515625" bestFit="1" customWidth="1"/>
    <col min="3" max="3" width="7" customWidth="1"/>
    <col min="4" max="6" width="8.7109375" customWidth="1"/>
    <col min="7" max="7" width="8.7109375" hidden="1" customWidth="1"/>
    <col min="8" max="8" width="4.7109375" hidden="1" customWidth="1"/>
    <col min="9" max="9" width="16.7109375" hidden="1" customWidth="1"/>
    <col min="10" max="10" width="9" hidden="1" customWidth="1"/>
    <col min="11" max="13" width="10.7109375" customWidth="1"/>
    <col min="14" max="14" width="12.7109375" style="4" customWidth="1"/>
    <col min="15" max="15" width="14" bestFit="1" customWidth="1"/>
  </cols>
  <sheetData>
    <row r="2" spans="2:15" x14ac:dyDescent="0.25">
      <c r="B2" s="2" t="s">
        <v>62</v>
      </c>
      <c r="C2" t="s">
        <v>58</v>
      </c>
      <c r="O2" s="3"/>
    </row>
    <row r="3" spans="2:15" ht="15.75" thickBot="1" x14ac:dyDescent="0.3">
      <c r="B3" t="s">
        <v>5</v>
      </c>
      <c r="C3" s="7">
        <v>5283</v>
      </c>
      <c r="N3"/>
    </row>
    <row r="4" spans="2:15" ht="15.75" thickBot="1" x14ac:dyDescent="0.3">
      <c r="B4" t="s">
        <v>9</v>
      </c>
      <c r="C4" s="7">
        <v>4507</v>
      </c>
      <c r="G4" s="22"/>
      <c r="N4"/>
    </row>
    <row r="5" spans="2:15" x14ac:dyDescent="0.25">
      <c r="B5" t="s">
        <v>13</v>
      </c>
      <c r="C5" s="7">
        <v>3261</v>
      </c>
      <c r="G5" s="23"/>
      <c r="K5" s="20" t="s">
        <v>59</v>
      </c>
      <c r="L5" s="21" t="s">
        <v>57</v>
      </c>
      <c r="N5"/>
    </row>
    <row r="6" spans="2:15" x14ac:dyDescent="0.25">
      <c r="B6" t="s">
        <v>33</v>
      </c>
      <c r="C6" s="7">
        <v>13051</v>
      </c>
      <c r="K6" s="23">
        <v>0.05</v>
      </c>
      <c r="L6" s="23">
        <v>-100</v>
      </c>
      <c r="N6"/>
    </row>
    <row r="7" spans="2:15" x14ac:dyDescent="0.25">
      <c r="N7"/>
    </row>
    <row r="8" spans="2:15" x14ac:dyDescent="0.25">
      <c r="B8" s="2" t="s">
        <v>61</v>
      </c>
      <c r="D8" s="2" t="s">
        <v>48</v>
      </c>
      <c r="I8" s="32" t="s">
        <v>38</v>
      </c>
      <c r="J8" s="33"/>
      <c r="K8" s="32" t="s">
        <v>60</v>
      </c>
      <c r="L8" s="33"/>
      <c r="M8" s="33"/>
      <c r="N8"/>
    </row>
    <row r="9" spans="2:15" x14ac:dyDescent="0.25">
      <c r="B9" s="2" t="s">
        <v>37</v>
      </c>
      <c r="C9" s="2" t="s">
        <v>36</v>
      </c>
      <c r="D9" t="s">
        <v>13</v>
      </c>
      <c r="E9" t="s">
        <v>5</v>
      </c>
      <c r="F9" t="s">
        <v>9</v>
      </c>
      <c r="I9" s="32" t="s">
        <v>0</v>
      </c>
      <c r="J9" s="32" t="s">
        <v>36</v>
      </c>
      <c r="K9" s="33" t="s">
        <v>13</v>
      </c>
      <c r="L9" s="33" t="s">
        <v>5</v>
      </c>
      <c r="M9" s="33" t="s">
        <v>9</v>
      </c>
      <c r="N9"/>
    </row>
    <row r="10" spans="2:15" x14ac:dyDescent="0.25">
      <c r="B10" s="5">
        <v>43380</v>
      </c>
      <c r="C10">
        <v>1</v>
      </c>
      <c r="D10" s="7">
        <v>460</v>
      </c>
      <c r="E10" s="7">
        <v>890</v>
      </c>
      <c r="F10" s="7">
        <v>622</v>
      </c>
      <c r="I10" s="33">
        <v>43380</v>
      </c>
      <c r="J10" s="33">
        <v>1</v>
      </c>
      <c r="K10" s="33">
        <v>-29.6</v>
      </c>
      <c r="L10" s="33">
        <v>34.9</v>
      </c>
      <c r="M10" s="33">
        <v>-5.3000000000000007</v>
      </c>
      <c r="N10"/>
    </row>
    <row r="11" spans="2:15" x14ac:dyDescent="0.25">
      <c r="B11" s="5">
        <v>43379</v>
      </c>
      <c r="C11">
        <v>1</v>
      </c>
      <c r="D11" s="7">
        <v>815</v>
      </c>
      <c r="E11" s="7">
        <v>1024</v>
      </c>
      <c r="F11" s="7">
        <v>866</v>
      </c>
      <c r="I11" s="33">
        <v>43379</v>
      </c>
      <c r="J11" s="33">
        <v>1</v>
      </c>
      <c r="K11" s="33">
        <v>-13</v>
      </c>
      <c r="L11" s="33">
        <v>18.350000000000001</v>
      </c>
      <c r="M11" s="33">
        <v>-5.3500000000000005</v>
      </c>
      <c r="N11"/>
    </row>
    <row r="12" spans="2:15" x14ac:dyDescent="0.25">
      <c r="B12" s="5">
        <v>43345</v>
      </c>
      <c r="C12">
        <v>1</v>
      </c>
      <c r="D12" s="7">
        <v>469</v>
      </c>
      <c r="E12" s="7">
        <v>469</v>
      </c>
      <c r="F12" s="7">
        <v>1226</v>
      </c>
      <c r="I12" s="33">
        <v>43345</v>
      </c>
      <c r="J12" s="33">
        <v>1</v>
      </c>
      <c r="K12" s="33">
        <v>-37.85</v>
      </c>
      <c r="L12" s="33">
        <v>-37.85</v>
      </c>
      <c r="M12" s="33">
        <v>75.7</v>
      </c>
      <c r="N12"/>
    </row>
    <row r="13" spans="2:15" x14ac:dyDescent="0.25">
      <c r="C13">
        <v>2</v>
      </c>
      <c r="D13" s="7">
        <v>611</v>
      </c>
      <c r="E13" s="7">
        <v>419</v>
      </c>
      <c r="F13" s="7">
        <v>337</v>
      </c>
      <c r="I13" s="33"/>
      <c r="J13" s="33">
        <v>2</v>
      </c>
      <c r="K13" s="33">
        <v>23.3</v>
      </c>
      <c r="L13" s="33">
        <v>-5.5</v>
      </c>
      <c r="M13" s="33">
        <v>-17.8</v>
      </c>
      <c r="N13"/>
    </row>
    <row r="14" spans="2:15" x14ac:dyDescent="0.25">
      <c r="C14">
        <v>3</v>
      </c>
      <c r="D14" s="7">
        <v>307</v>
      </c>
      <c r="E14" s="7">
        <v>318</v>
      </c>
      <c r="F14" s="7">
        <v>361</v>
      </c>
      <c r="I14" s="33"/>
      <c r="J14" s="33">
        <v>3</v>
      </c>
      <c r="K14" s="33">
        <v>-3.25</v>
      </c>
      <c r="L14" s="33">
        <v>-1.6</v>
      </c>
      <c r="M14" s="33">
        <v>4.8500000000000005</v>
      </c>
      <c r="N14"/>
    </row>
    <row r="15" spans="2:15" x14ac:dyDescent="0.25">
      <c r="B15" s="5">
        <v>43323</v>
      </c>
      <c r="C15">
        <v>1</v>
      </c>
      <c r="D15" s="7">
        <v>-152</v>
      </c>
      <c r="E15" s="7">
        <v>1121</v>
      </c>
      <c r="F15" s="7">
        <v>854</v>
      </c>
      <c r="I15" s="33">
        <v>43323</v>
      </c>
      <c r="J15" s="33">
        <v>1</v>
      </c>
      <c r="K15" s="33">
        <v>-100</v>
      </c>
      <c r="L15" s="33">
        <v>67.573497147871876</v>
      </c>
      <c r="M15" s="33">
        <v>32.426502852128131</v>
      </c>
      <c r="N15"/>
    </row>
    <row r="16" spans="2:15" x14ac:dyDescent="0.25">
      <c r="C16">
        <v>2</v>
      </c>
      <c r="D16" s="7">
        <v>98</v>
      </c>
      <c r="E16" s="7">
        <v>76</v>
      </c>
      <c r="F16" s="7">
        <v>310</v>
      </c>
      <c r="I16" s="33"/>
      <c r="J16" s="33">
        <v>2</v>
      </c>
      <c r="K16" s="33">
        <v>-9.5</v>
      </c>
      <c r="L16" s="33">
        <v>-12.8</v>
      </c>
      <c r="M16" s="33">
        <v>22.3</v>
      </c>
      <c r="N16"/>
    </row>
    <row r="17" spans="2:14" x14ac:dyDescent="0.25">
      <c r="B17" s="5">
        <v>43295</v>
      </c>
      <c r="C17">
        <v>1</v>
      </c>
      <c r="D17" s="7">
        <v>653</v>
      </c>
      <c r="E17" s="7">
        <v>966</v>
      </c>
      <c r="F17" s="7">
        <v>-69</v>
      </c>
      <c r="I17" s="33">
        <v>43295</v>
      </c>
      <c r="J17" s="33">
        <v>1</v>
      </c>
      <c r="K17" s="33">
        <v>20.450000000000003</v>
      </c>
      <c r="L17" s="33">
        <v>67.400000000000006</v>
      </c>
      <c r="M17" s="33">
        <v>-87.850000000000009</v>
      </c>
      <c r="N17"/>
    </row>
    <row r="18" spans="2:14" x14ac:dyDescent="0.25">
      <c r="B18" s="5" t="s">
        <v>33</v>
      </c>
      <c r="D18" s="7">
        <v>3261</v>
      </c>
      <c r="E18" s="7">
        <v>5283</v>
      </c>
      <c r="F18" s="7">
        <v>4507</v>
      </c>
      <c r="I18" s="33" t="s">
        <v>33</v>
      </c>
      <c r="J18" s="33"/>
      <c r="K18" s="33">
        <v>-149.44999999999999</v>
      </c>
      <c r="L18" s="33">
        <v>130.47349714787188</v>
      </c>
      <c r="M18" s="33">
        <v>18.976502852128121</v>
      </c>
      <c r="N18"/>
    </row>
    <row r="19" spans="2:14" x14ac:dyDescent="0.25">
      <c r="N19"/>
    </row>
    <row r="20" spans="2:14" x14ac:dyDescent="0.25">
      <c r="N20"/>
    </row>
    <row r="21" spans="2:14" x14ac:dyDescent="0.25">
      <c r="N21"/>
    </row>
    <row r="22" spans="2:14" x14ac:dyDescent="0.25">
      <c r="N22"/>
    </row>
    <row r="23" spans="2:14" x14ac:dyDescent="0.25">
      <c r="N23"/>
    </row>
    <row r="24" spans="2:14" x14ac:dyDescent="0.25">
      <c r="N24"/>
    </row>
    <row r="25" spans="2:14" x14ac:dyDescent="0.25">
      <c r="N25"/>
    </row>
  </sheetData>
  <pageMargins left="0.7" right="0.7" top="0.75" bottom="0.75" header="0.3" footer="0.3"/>
  <pageSetup paperSize="9"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79998168889431442"/>
  </sheetPr>
  <dimension ref="A1:M233"/>
  <sheetViews>
    <sheetView showGridLines="0" workbookViewId="0">
      <pane ySplit="1" topLeftCell="A222" activePane="bottomLeft" state="frozen"/>
      <selection activeCell="S46" sqref="S46:V46"/>
      <selection pane="bottomLeft" activeCell="I233" sqref="I233"/>
    </sheetView>
  </sheetViews>
  <sheetFormatPr defaultRowHeight="15" x14ac:dyDescent="0.25"/>
  <cols>
    <col min="1" max="1" width="9.140625" style="13"/>
    <col min="2" max="2" width="10.42578125" style="14" bestFit="1" customWidth="1"/>
    <col min="3" max="3" width="7.7109375" style="13" bestFit="1" customWidth="1"/>
    <col min="4" max="4" width="14.7109375" style="13" bestFit="1" customWidth="1"/>
    <col min="5" max="5" width="13" style="13" bestFit="1" customWidth="1"/>
    <col min="6" max="6" width="17.7109375" style="13" bestFit="1" customWidth="1"/>
    <col min="7" max="7" width="15.42578125" style="13" bestFit="1" customWidth="1"/>
    <col min="8" max="8" width="8.7109375" style="13" bestFit="1" customWidth="1"/>
    <col min="9" max="9" width="9" bestFit="1" customWidth="1"/>
    <col min="10" max="10" width="12.7109375" style="19" bestFit="1" customWidth="1"/>
    <col min="12" max="12" width="6.28515625" bestFit="1" customWidth="1"/>
    <col min="13" max="13" width="8.5703125" bestFit="1" customWidth="1"/>
  </cols>
  <sheetData>
    <row r="1" spans="1:13" ht="113.25" customHeight="1" x14ac:dyDescent="0.25">
      <c r="A1" s="13" t="s">
        <v>0</v>
      </c>
      <c r="B1" s="14" t="s">
        <v>36</v>
      </c>
      <c r="C1" s="13" t="s">
        <v>1</v>
      </c>
      <c r="D1" s="13" t="s">
        <v>2</v>
      </c>
      <c r="E1" s="13" t="s">
        <v>8</v>
      </c>
      <c r="F1" s="13" t="s">
        <v>24</v>
      </c>
      <c r="G1" s="13" t="s">
        <v>34</v>
      </c>
      <c r="H1" s="13" t="s">
        <v>4</v>
      </c>
      <c r="I1" t="s">
        <v>23</v>
      </c>
      <c r="J1" s="19" t="s">
        <v>18</v>
      </c>
      <c r="K1" t="s">
        <v>40</v>
      </c>
      <c r="L1" t="s">
        <v>45</v>
      </c>
      <c r="M1" t="s">
        <v>20</v>
      </c>
    </row>
    <row r="2" spans="1:13" hidden="1" x14ac:dyDescent="0.25">
      <c r="A2" s="15">
        <v>43295</v>
      </c>
      <c r="B2" s="14">
        <v>1</v>
      </c>
      <c r="C2" s="13">
        <v>1</v>
      </c>
      <c r="D2" s="13" t="s">
        <v>10</v>
      </c>
      <c r="E2" s="13">
        <v>4</v>
      </c>
      <c r="F2" s="13" t="s">
        <v>19</v>
      </c>
      <c r="G2" s="13" t="s">
        <v>5</v>
      </c>
      <c r="H2" s="13" t="s">
        <v>7</v>
      </c>
      <c r="I2">
        <v>102</v>
      </c>
      <c r="M2" t="b">
        <f>OR(AND(Games[[#This Row],[Status]]="G",Games[[#This Row],[Augen]]&gt;60),AND(Games[[#This Row],[Status]]="V",Games[[#This Row],[Augen]]&lt;=60),Games[[#This Row],[Grundwert]]="Ramsch",Games[[#This Row],[Grundwert]]="Null")</f>
        <v>1</v>
      </c>
    </row>
    <row r="3" spans="1:13" hidden="1" x14ac:dyDescent="0.25">
      <c r="A3" s="15">
        <v>43295</v>
      </c>
      <c r="B3" s="14">
        <v>1</v>
      </c>
      <c r="C3" s="16">
        <v>2</v>
      </c>
      <c r="D3" s="16" t="s">
        <v>11</v>
      </c>
      <c r="E3" s="16">
        <v>3</v>
      </c>
      <c r="F3" s="16" t="s">
        <v>19</v>
      </c>
      <c r="G3" s="16" t="s">
        <v>5</v>
      </c>
      <c r="H3" s="16" t="s">
        <v>7</v>
      </c>
      <c r="I3">
        <v>101</v>
      </c>
      <c r="M3" t="b">
        <f>OR(AND(Games[[#This Row],[Status]]="G",Games[[#This Row],[Augen]]&gt;60),AND(Games[[#This Row],[Status]]="V",Games[[#This Row],[Augen]]&lt;=60),Games[[#This Row],[Grundwert]]="Ramsch",Games[[#This Row],[Grundwert]]="Null")</f>
        <v>1</v>
      </c>
    </row>
    <row r="4" spans="1:13" hidden="1" x14ac:dyDescent="0.25">
      <c r="A4" s="15">
        <v>43295</v>
      </c>
      <c r="B4" s="14">
        <v>1</v>
      </c>
      <c r="C4" s="16">
        <v>3</v>
      </c>
      <c r="D4" s="16" t="s">
        <v>15</v>
      </c>
      <c r="E4" s="16"/>
      <c r="F4" s="16"/>
      <c r="G4" s="16" t="s">
        <v>5</v>
      </c>
      <c r="H4" s="16" t="s">
        <v>7</v>
      </c>
      <c r="I4">
        <v>0</v>
      </c>
      <c r="M4" t="b">
        <f>OR(AND(Games[[#This Row],[Status]]="G",Games[[#This Row],[Augen]]&gt;60),AND(Games[[#This Row],[Status]]="V",Games[[#This Row],[Augen]]&lt;=60),Games[[#This Row],[Grundwert]]="Ramsch",Games[[#This Row],[Grundwert]]="Null")</f>
        <v>1</v>
      </c>
    </row>
    <row r="5" spans="1:13" hidden="1" x14ac:dyDescent="0.25">
      <c r="A5" s="15">
        <v>43295</v>
      </c>
      <c r="B5" s="14">
        <v>1</v>
      </c>
      <c r="C5" s="16">
        <v>4</v>
      </c>
      <c r="D5" s="16" t="s">
        <v>10</v>
      </c>
      <c r="E5" s="16">
        <v>4</v>
      </c>
      <c r="F5" s="16"/>
      <c r="G5" s="16" t="s">
        <v>5</v>
      </c>
      <c r="H5" s="16" t="s">
        <v>7</v>
      </c>
      <c r="I5">
        <v>68</v>
      </c>
      <c r="M5" t="b">
        <f>OR(AND(Games[[#This Row],[Status]]="G",Games[[#This Row],[Augen]]&gt;60),AND(Games[[#This Row],[Status]]="V",Games[[#This Row],[Augen]]&lt;=60),Games[[#This Row],[Grundwert]]="Ramsch",Games[[#This Row],[Grundwert]]="Null")</f>
        <v>1</v>
      </c>
    </row>
    <row r="6" spans="1:13" hidden="1" x14ac:dyDescent="0.25">
      <c r="A6" s="15">
        <v>43295</v>
      </c>
      <c r="B6" s="14">
        <v>1</v>
      </c>
      <c r="C6" s="16">
        <v>5</v>
      </c>
      <c r="D6" s="16" t="s">
        <v>17</v>
      </c>
      <c r="E6" s="16"/>
      <c r="F6" s="16"/>
      <c r="G6" s="16" t="s">
        <v>5</v>
      </c>
      <c r="H6" s="16" t="s">
        <v>12</v>
      </c>
      <c r="I6">
        <v>69</v>
      </c>
      <c r="M6" t="b">
        <f>OR(AND(Games[[#This Row],[Status]]="G",Games[[#This Row],[Augen]]&gt;60),AND(Games[[#This Row],[Status]]="V",Games[[#This Row],[Augen]]&lt;=60),Games[[#This Row],[Grundwert]]="Ramsch",Games[[#This Row],[Grundwert]]="Null")</f>
        <v>1</v>
      </c>
    </row>
    <row r="7" spans="1:13" hidden="1" x14ac:dyDescent="0.25">
      <c r="A7" s="15">
        <v>43295</v>
      </c>
      <c r="B7" s="14">
        <v>1</v>
      </c>
      <c r="C7" s="16">
        <v>6</v>
      </c>
      <c r="D7" s="16" t="s">
        <v>15</v>
      </c>
      <c r="E7" s="16"/>
      <c r="F7" s="16" t="s">
        <v>30</v>
      </c>
      <c r="G7" s="16" t="s">
        <v>5</v>
      </c>
      <c r="H7" s="16" t="s">
        <v>7</v>
      </c>
      <c r="I7">
        <v>0</v>
      </c>
      <c r="M7" t="b">
        <f>OR(AND(Games[[#This Row],[Status]]="G",Games[[#This Row],[Augen]]&gt;60),AND(Games[[#This Row],[Status]]="V",Games[[#This Row],[Augen]]&lt;=60),Games[[#This Row],[Grundwert]]="Ramsch",Games[[#This Row],[Grundwert]]="Null")</f>
        <v>1</v>
      </c>
    </row>
    <row r="8" spans="1:13" hidden="1" x14ac:dyDescent="0.25">
      <c r="A8" s="15">
        <v>43295</v>
      </c>
      <c r="B8" s="14">
        <v>1</v>
      </c>
      <c r="C8" s="16">
        <v>7</v>
      </c>
      <c r="D8" s="16" t="s">
        <v>15</v>
      </c>
      <c r="E8" s="16"/>
      <c r="F8" s="16"/>
      <c r="G8" s="16" t="s">
        <v>9</v>
      </c>
      <c r="H8" s="16" t="s">
        <v>12</v>
      </c>
      <c r="I8">
        <v>0</v>
      </c>
      <c r="M8" t="b">
        <f>OR(AND(Games[[#This Row],[Status]]="G",Games[[#This Row],[Augen]]&gt;60),AND(Games[[#This Row],[Status]]="V",Games[[#This Row],[Augen]]&lt;=60),Games[[#This Row],[Grundwert]]="Ramsch",Games[[#This Row],[Grundwert]]="Null")</f>
        <v>1</v>
      </c>
    </row>
    <row r="9" spans="1:13" hidden="1" x14ac:dyDescent="0.25">
      <c r="A9" s="15">
        <v>43295</v>
      </c>
      <c r="B9" s="14">
        <v>1</v>
      </c>
      <c r="C9" s="16">
        <v>8</v>
      </c>
      <c r="D9" s="16" t="s">
        <v>16</v>
      </c>
      <c r="E9" s="16">
        <v>-4</v>
      </c>
      <c r="F9" s="16"/>
      <c r="G9" s="16" t="s">
        <v>5</v>
      </c>
      <c r="H9" s="16" t="s">
        <v>7</v>
      </c>
      <c r="I9">
        <v>61</v>
      </c>
      <c r="M9" t="b">
        <f>OR(AND(Games[[#This Row],[Status]]="G",Games[[#This Row],[Augen]]&gt;60),AND(Games[[#This Row],[Status]]="V",Games[[#This Row],[Augen]]&lt;=60),Games[[#This Row],[Grundwert]]="Ramsch",Games[[#This Row],[Grundwert]]="Null")</f>
        <v>1</v>
      </c>
    </row>
    <row r="10" spans="1:13" hidden="1" x14ac:dyDescent="0.25">
      <c r="A10" s="15">
        <v>43295</v>
      </c>
      <c r="B10" s="14">
        <v>1</v>
      </c>
      <c r="C10" s="16">
        <v>9</v>
      </c>
      <c r="D10" s="16" t="s">
        <v>6</v>
      </c>
      <c r="E10" s="16">
        <v>1</v>
      </c>
      <c r="F10" s="16"/>
      <c r="G10" s="16" t="s">
        <v>5</v>
      </c>
      <c r="H10" s="16" t="s">
        <v>7</v>
      </c>
      <c r="I10">
        <v>61</v>
      </c>
      <c r="M10" t="b">
        <f>OR(AND(Games[[#This Row],[Status]]="G",Games[[#This Row],[Augen]]&gt;60),AND(Games[[#This Row],[Status]]="V",Games[[#This Row],[Augen]]&lt;=60),Games[[#This Row],[Grundwert]]="Ramsch",Games[[#This Row],[Grundwert]]="Null")</f>
        <v>1</v>
      </c>
    </row>
    <row r="11" spans="1:13" hidden="1" x14ac:dyDescent="0.25">
      <c r="A11" s="15">
        <v>43295</v>
      </c>
      <c r="B11" s="14">
        <v>1</v>
      </c>
      <c r="C11" s="16">
        <v>10</v>
      </c>
      <c r="D11" s="16" t="s">
        <v>6</v>
      </c>
      <c r="E11" s="16">
        <v>-4</v>
      </c>
      <c r="F11" s="16"/>
      <c r="G11" s="16" t="s">
        <v>5</v>
      </c>
      <c r="H11" s="16" t="s">
        <v>12</v>
      </c>
      <c r="I11">
        <v>50</v>
      </c>
      <c r="M11" t="b">
        <f>OR(AND(Games[[#This Row],[Status]]="G",Games[[#This Row],[Augen]]&gt;60),AND(Games[[#This Row],[Status]]="V",Games[[#This Row],[Augen]]&lt;=60),Games[[#This Row],[Grundwert]]="Ramsch",Games[[#This Row],[Grundwert]]="Null")</f>
        <v>1</v>
      </c>
    </row>
    <row r="12" spans="1:13" hidden="1" x14ac:dyDescent="0.25">
      <c r="A12" s="15">
        <v>43295</v>
      </c>
      <c r="B12" s="14">
        <v>1</v>
      </c>
      <c r="C12" s="16">
        <v>11</v>
      </c>
      <c r="D12" s="16" t="s">
        <v>10</v>
      </c>
      <c r="E12" s="16">
        <v>4</v>
      </c>
      <c r="F12" s="16" t="s">
        <v>19</v>
      </c>
      <c r="G12" s="16" t="s">
        <v>5</v>
      </c>
      <c r="H12" s="16" t="s">
        <v>7</v>
      </c>
      <c r="I12">
        <v>110</v>
      </c>
      <c r="M12" t="b">
        <f>OR(AND(Games[[#This Row],[Status]]="G",Games[[#This Row],[Augen]]&gt;60),AND(Games[[#This Row],[Status]]="V",Games[[#This Row],[Augen]]&lt;=60),Games[[#This Row],[Grundwert]]="Ramsch",Games[[#This Row],[Grundwert]]="Null")</f>
        <v>1</v>
      </c>
    </row>
    <row r="13" spans="1:13" hidden="1" x14ac:dyDescent="0.25">
      <c r="A13" s="15">
        <v>43295</v>
      </c>
      <c r="B13" s="14">
        <v>1</v>
      </c>
      <c r="C13" s="16">
        <v>12</v>
      </c>
      <c r="D13" s="16" t="s">
        <v>11</v>
      </c>
      <c r="E13" s="16">
        <v>1</v>
      </c>
      <c r="F13" s="16"/>
      <c r="G13" s="16" t="s">
        <v>13</v>
      </c>
      <c r="H13" s="16" t="s">
        <v>7</v>
      </c>
      <c r="I13">
        <v>66</v>
      </c>
      <c r="M13" t="b">
        <f>OR(AND(Games[[#This Row],[Status]]="G",Games[[#This Row],[Augen]]&gt;60),AND(Games[[#This Row],[Status]]="V",Games[[#This Row],[Augen]]&lt;=60),Games[[#This Row],[Grundwert]]="Ramsch",Games[[#This Row],[Grundwert]]="Null")</f>
        <v>1</v>
      </c>
    </row>
    <row r="14" spans="1:13" hidden="1" x14ac:dyDescent="0.25">
      <c r="A14" s="15">
        <v>43295</v>
      </c>
      <c r="B14" s="14">
        <v>1</v>
      </c>
      <c r="C14" s="16">
        <v>13</v>
      </c>
      <c r="D14" s="16" t="s">
        <v>16</v>
      </c>
      <c r="E14" s="16">
        <v>1</v>
      </c>
      <c r="F14" s="16"/>
      <c r="G14" s="16" t="s">
        <v>9</v>
      </c>
      <c r="H14" s="16" t="s">
        <v>7</v>
      </c>
      <c r="I14">
        <v>79</v>
      </c>
      <c r="M14" t="b">
        <f>OR(AND(Games[[#This Row],[Status]]="G",Games[[#This Row],[Augen]]&gt;60),AND(Games[[#This Row],[Status]]="V",Games[[#This Row],[Augen]]&lt;=60),Games[[#This Row],[Grundwert]]="Ramsch",Games[[#This Row],[Grundwert]]="Null")</f>
        <v>1</v>
      </c>
    </row>
    <row r="15" spans="1:13" hidden="1" x14ac:dyDescent="0.25">
      <c r="A15" s="15">
        <v>43295</v>
      </c>
      <c r="B15" s="14">
        <v>1</v>
      </c>
      <c r="C15" s="16">
        <v>14</v>
      </c>
      <c r="D15" s="16" t="s">
        <v>6</v>
      </c>
      <c r="E15" s="16">
        <v>-1</v>
      </c>
      <c r="F15" s="16" t="s">
        <v>19</v>
      </c>
      <c r="G15" s="16" t="s">
        <v>9</v>
      </c>
      <c r="H15" s="16" t="s">
        <v>7</v>
      </c>
      <c r="I15">
        <v>95</v>
      </c>
      <c r="M15" t="b">
        <f>OR(AND(Games[[#This Row],[Status]]="G",Games[[#This Row],[Augen]]&gt;60),AND(Games[[#This Row],[Status]]="V",Games[[#This Row],[Augen]]&lt;=60),Games[[#This Row],[Grundwert]]="Ramsch",Games[[#This Row],[Grundwert]]="Null")</f>
        <v>1</v>
      </c>
    </row>
    <row r="16" spans="1:13" hidden="1" x14ac:dyDescent="0.25">
      <c r="A16" s="15">
        <v>43295</v>
      </c>
      <c r="B16" s="14">
        <v>1</v>
      </c>
      <c r="C16" s="16">
        <v>15</v>
      </c>
      <c r="D16" s="16" t="s">
        <v>17</v>
      </c>
      <c r="E16" s="16"/>
      <c r="F16" s="16"/>
      <c r="G16" s="16" t="s">
        <v>9</v>
      </c>
      <c r="H16" s="16" t="s">
        <v>12</v>
      </c>
      <c r="I16">
        <v>90</v>
      </c>
      <c r="M16" t="b">
        <f>OR(AND(Games[[#This Row],[Status]]="G",Games[[#This Row],[Augen]]&gt;60),AND(Games[[#This Row],[Status]]="V",Games[[#This Row],[Augen]]&lt;=60),Games[[#This Row],[Grundwert]]="Ramsch",Games[[#This Row],[Grundwert]]="Null")</f>
        <v>1</v>
      </c>
    </row>
    <row r="17" spans="1:13" hidden="1" x14ac:dyDescent="0.25">
      <c r="A17" s="15">
        <v>43295</v>
      </c>
      <c r="B17" s="14">
        <v>1</v>
      </c>
      <c r="C17" s="16">
        <v>16</v>
      </c>
      <c r="D17" s="16" t="s">
        <v>10</v>
      </c>
      <c r="E17" s="16">
        <v>1</v>
      </c>
      <c r="F17" s="16"/>
      <c r="G17" s="16" t="s">
        <v>9</v>
      </c>
      <c r="H17" s="16" t="s">
        <v>7</v>
      </c>
      <c r="I17">
        <v>86</v>
      </c>
      <c r="M17" t="b">
        <f>OR(AND(Games[[#This Row],[Status]]="G",Games[[#This Row],[Augen]]&gt;60),AND(Games[[#This Row],[Status]]="V",Games[[#This Row],[Augen]]&lt;=60),Games[[#This Row],[Grundwert]]="Ramsch",Games[[#This Row],[Grundwert]]="Null")</f>
        <v>1</v>
      </c>
    </row>
    <row r="18" spans="1:13" hidden="1" x14ac:dyDescent="0.25">
      <c r="A18" s="15">
        <v>43295</v>
      </c>
      <c r="B18" s="14">
        <v>1</v>
      </c>
      <c r="C18" s="16">
        <v>17</v>
      </c>
      <c r="D18" s="16" t="s">
        <v>11</v>
      </c>
      <c r="E18" s="16">
        <v>4</v>
      </c>
      <c r="F18" s="16"/>
      <c r="G18" s="16" t="s">
        <v>13</v>
      </c>
      <c r="H18" s="16" t="s">
        <v>7</v>
      </c>
      <c r="I18">
        <v>81</v>
      </c>
      <c r="M18" t="b">
        <f>OR(AND(Games[[#This Row],[Status]]="G",Games[[#This Row],[Augen]]&gt;60),AND(Games[[#This Row],[Status]]="V",Games[[#This Row],[Augen]]&lt;=60),Games[[#This Row],[Grundwert]]="Ramsch",Games[[#This Row],[Grundwert]]="Null")</f>
        <v>1</v>
      </c>
    </row>
    <row r="19" spans="1:13" hidden="1" x14ac:dyDescent="0.25">
      <c r="A19" s="15">
        <v>43295</v>
      </c>
      <c r="B19" s="14">
        <v>1</v>
      </c>
      <c r="C19" s="17">
        <v>18</v>
      </c>
      <c r="D19" s="17" t="s">
        <v>11</v>
      </c>
      <c r="E19" s="17">
        <v>-1</v>
      </c>
      <c r="F19" s="17" t="s">
        <v>19</v>
      </c>
      <c r="G19" s="17" t="s">
        <v>5</v>
      </c>
      <c r="H19" s="17" t="s">
        <v>7</v>
      </c>
      <c r="I19">
        <v>91</v>
      </c>
      <c r="M19" t="b">
        <f>OR(AND(Games[[#This Row],[Status]]="G",Games[[#This Row],[Augen]]&gt;60),AND(Games[[#This Row],[Status]]="V",Games[[#This Row],[Augen]]&lt;=60),Games[[#This Row],[Grundwert]]="Ramsch",Games[[#This Row],[Grundwert]]="Null")</f>
        <v>1</v>
      </c>
    </row>
    <row r="20" spans="1:13" hidden="1" x14ac:dyDescent="0.25">
      <c r="A20" s="15">
        <v>43295</v>
      </c>
      <c r="B20" s="14">
        <v>1</v>
      </c>
      <c r="C20" s="17">
        <v>19</v>
      </c>
      <c r="D20" s="17" t="s">
        <v>15</v>
      </c>
      <c r="E20" s="17"/>
      <c r="F20" s="17"/>
      <c r="G20" s="17" t="s">
        <v>9</v>
      </c>
      <c r="H20" s="17" t="s">
        <v>7</v>
      </c>
      <c r="I20">
        <v>0</v>
      </c>
      <c r="M20" t="b">
        <f>OR(AND(Games[[#This Row],[Status]]="G",Games[[#This Row],[Augen]]&gt;60),AND(Games[[#This Row],[Status]]="V",Games[[#This Row],[Augen]]&lt;=60),Games[[#This Row],[Grundwert]]="Ramsch",Games[[#This Row],[Grundwert]]="Null")</f>
        <v>1</v>
      </c>
    </row>
    <row r="21" spans="1:13" hidden="1" x14ac:dyDescent="0.25">
      <c r="A21" s="15">
        <v>43295</v>
      </c>
      <c r="B21" s="14">
        <v>1</v>
      </c>
      <c r="C21" s="17">
        <v>20</v>
      </c>
      <c r="D21" s="17" t="s">
        <v>16</v>
      </c>
      <c r="E21" s="17">
        <v>-1</v>
      </c>
      <c r="F21" s="17"/>
      <c r="G21" s="17" t="s">
        <v>9</v>
      </c>
      <c r="H21" s="17" t="s">
        <v>7</v>
      </c>
      <c r="I21">
        <v>70</v>
      </c>
      <c r="M21" t="b">
        <f>OR(AND(Games[[#This Row],[Status]]="G",Games[[#This Row],[Augen]]&gt;60),AND(Games[[#This Row],[Status]]="V",Games[[#This Row],[Augen]]&lt;=60),Games[[#This Row],[Grundwert]]="Ramsch",Games[[#This Row],[Grundwert]]="Null")</f>
        <v>1</v>
      </c>
    </row>
    <row r="22" spans="1:13" hidden="1" x14ac:dyDescent="0.25">
      <c r="A22" s="15">
        <v>43295</v>
      </c>
      <c r="B22" s="14">
        <v>1</v>
      </c>
      <c r="C22" s="17">
        <v>21</v>
      </c>
      <c r="D22" s="17" t="s">
        <v>10</v>
      </c>
      <c r="E22" s="17">
        <v>-1</v>
      </c>
      <c r="F22" s="17"/>
      <c r="G22" s="17" t="s">
        <v>13</v>
      </c>
      <c r="H22" s="17" t="s">
        <v>7</v>
      </c>
      <c r="I22">
        <v>87</v>
      </c>
      <c r="M22" t="b">
        <f>OR(AND(Games[[#This Row],[Status]]="G",Games[[#This Row],[Augen]]&gt;60),AND(Games[[#This Row],[Status]]="V",Games[[#This Row],[Augen]]&lt;=60),Games[[#This Row],[Grundwert]]="Ramsch",Games[[#This Row],[Grundwert]]="Null")</f>
        <v>1</v>
      </c>
    </row>
    <row r="23" spans="1:13" hidden="1" x14ac:dyDescent="0.25">
      <c r="A23" s="15">
        <v>43295</v>
      </c>
      <c r="B23" s="14">
        <v>1</v>
      </c>
      <c r="C23" s="17">
        <v>22</v>
      </c>
      <c r="D23" s="17" t="s">
        <v>11</v>
      </c>
      <c r="E23" s="17">
        <v>2</v>
      </c>
      <c r="F23" s="17"/>
      <c r="G23" s="17" t="s">
        <v>5</v>
      </c>
      <c r="H23" s="17" t="s">
        <v>12</v>
      </c>
      <c r="I23">
        <v>58</v>
      </c>
      <c r="M23" t="b">
        <f>OR(AND(Games[[#This Row],[Status]]="G",Games[[#This Row],[Augen]]&gt;60),AND(Games[[#This Row],[Status]]="V",Games[[#This Row],[Augen]]&lt;=60),Games[[#This Row],[Grundwert]]="Ramsch",Games[[#This Row],[Grundwert]]="Null")</f>
        <v>1</v>
      </c>
    </row>
    <row r="24" spans="1:13" hidden="1" x14ac:dyDescent="0.25">
      <c r="A24" s="15">
        <v>43295</v>
      </c>
      <c r="B24" s="14">
        <v>1</v>
      </c>
      <c r="C24" s="17">
        <v>23</v>
      </c>
      <c r="D24" s="17" t="s">
        <v>10</v>
      </c>
      <c r="E24" s="17">
        <v>4</v>
      </c>
      <c r="F24" s="17" t="s">
        <v>54</v>
      </c>
      <c r="G24" s="17" t="s">
        <v>13</v>
      </c>
      <c r="H24" s="17" t="s">
        <v>7</v>
      </c>
      <c r="I24">
        <v>120</v>
      </c>
      <c r="M24" t="b">
        <f>OR(AND(Games[[#This Row],[Status]]="G",Games[[#This Row],[Augen]]&gt;60),AND(Games[[#This Row],[Status]]="V",Games[[#This Row],[Augen]]&lt;=60),Games[[#This Row],[Grundwert]]="Ramsch",Games[[#This Row],[Grundwert]]="Null")</f>
        <v>1</v>
      </c>
    </row>
    <row r="25" spans="1:13" hidden="1" x14ac:dyDescent="0.25">
      <c r="A25" s="15">
        <v>43295</v>
      </c>
      <c r="B25" s="14">
        <v>1</v>
      </c>
      <c r="C25" s="17">
        <v>24</v>
      </c>
      <c r="D25" s="17" t="s">
        <v>10</v>
      </c>
      <c r="E25" s="17">
        <v>4</v>
      </c>
      <c r="F25" s="17"/>
      <c r="G25" s="17" t="s">
        <v>5</v>
      </c>
      <c r="H25" s="17" t="s">
        <v>7</v>
      </c>
      <c r="I25">
        <v>78</v>
      </c>
      <c r="M25" t="b">
        <f>OR(AND(Games[[#This Row],[Status]]="G",Games[[#This Row],[Augen]]&gt;60),AND(Games[[#This Row],[Status]]="V",Games[[#This Row],[Augen]]&lt;=60),Games[[#This Row],[Grundwert]]="Ramsch",Games[[#This Row],[Grundwert]]="Null")</f>
        <v>1</v>
      </c>
    </row>
    <row r="26" spans="1:13" hidden="1" x14ac:dyDescent="0.25">
      <c r="A26" s="15">
        <v>43295</v>
      </c>
      <c r="B26" s="14">
        <v>1</v>
      </c>
      <c r="C26" s="17">
        <v>25</v>
      </c>
      <c r="D26" s="17" t="s">
        <v>6</v>
      </c>
      <c r="E26" s="17">
        <v>4</v>
      </c>
      <c r="F26" s="17"/>
      <c r="G26" s="17" t="s">
        <v>5</v>
      </c>
      <c r="H26" s="17" t="s">
        <v>7</v>
      </c>
      <c r="I26">
        <v>80</v>
      </c>
      <c r="M26" t="b">
        <f>OR(AND(Games[[#This Row],[Status]]="G",Games[[#This Row],[Augen]]&gt;60),AND(Games[[#This Row],[Status]]="V",Games[[#This Row],[Augen]]&lt;=60),Games[[#This Row],[Grundwert]]="Ramsch",Games[[#This Row],[Grundwert]]="Null")</f>
        <v>1</v>
      </c>
    </row>
    <row r="27" spans="1:13" hidden="1" x14ac:dyDescent="0.25">
      <c r="A27" s="15">
        <v>43295</v>
      </c>
      <c r="B27" s="14">
        <v>1</v>
      </c>
      <c r="C27" s="17">
        <v>26</v>
      </c>
      <c r="D27" s="17" t="s">
        <v>15</v>
      </c>
      <c r="E27" s="17"/>
      <c r="F27" s="17"/>
      <c r="G27" s="17" t="s">
        <v>13</v>
      </c>
      <c r="H27" s="17" t="s">
        <v>12</v>
      </c>
      <c r="I27">
        <v>0</v>
      </c>
      <c r="M27" t="b">
        <f>OR(AND(Games[[#This Row],[Status]]="G",Games[[#This Row],[Augen]]&gt;60),AND(Games[[#This Row],[Status]]="V",Games[[#This Row],[Augen]]&lt;=60),Games[[#This Row],[Grundwert]]="Ramsch",Games[[#This Row],[Grundwert]]="Null")</f>
        <v>1</v>
      </c>
    </row>
    <row r="28" spans="1:13" hidden="1" x14ac:dyDescent="0.25">
      <c r="A28" s="15">
        <v>43295</v>
      </c>
      <c r="B28" s="14">
        <v>1</v>
      </c>
      <c r="C28" s="17">
        <v>27</v>
      </c>
      <c r="D28" s="17" t="s">
        <v>10</v>
      </c>
      <c r="E28" s="17">
        <v>3</v>
      </c>
      <c r="F28" s="17" t="s">
        <v>19</v>
      </c>
      <c r="G28" s="17" t="s">
        <v>9</v>
      </c>
      <c r="H28" s="17" t="s">
        <v>7</v>
      </c>
      <c r="I28">
        <v>106</v>
      </c>
      <c r="M28" t="b">
        <f>OR(AND(Games[[#This Row],[Status]]="G",Games[[#This Row],[Augen]]&gt;60),AND(Games[[#This Row],[Status]]="V",Games[[#This Row],[Augen]]&lt;=60),Games[[#This Row],[Grundwert]]="Ramsch",Games[[#This Row],[Grundwert]]="Null")</f>
        <v>1</v>
      </c>
    </row>
    <row r="29" spans="1:13" hidden="1" x14ac:dyDescent="0.25">
      <c r="A29" s="15">
        <v>43295</v>
      </c>
      <c r="B29" s="14">
        <v>1</v>
      </c>
      <c r="C29" s="17">
        <v>28</v>
      </c>
      <c r="D29" s="17" t="s">
        <v>14</v>
      </c>
      <c r="E29" s="17">
        <v>-3</v>
      </c>
      <c r="F29" s="17" t="s">
        <v>19</v>
      </c>
      <c r="G29" s="17" t="s">
        <v>5</v>
      </c>
      <c r="H29" s="17" t="s">
        <v>12</v>
      </c>
      <c r="I29">
        <v>28</v>
      </c>
      <c r="M29" t="b">
        <f>OR(AND(Games[[#This Row],[Status]]="G",Games[[#This Row],[Augen]]&gt;60),AND(Games[[#This Row],[Status]]="V",Games[[#This Row],[Augen]]&lt;=60),Games[[#This Row],[Grundwert]]="Ramsch",Games[[#This Row],[Grundwert]]="Null")</f>
        <v>1</v>
      </c>
    </row>
    <row r="30" spans="1:13" hidden="1" x14ac:dyDescent="0.25">
      <c r="A30" s="15">
        <v>43295</v>
      </c>
      <c r="B30" s="14">
        <v>1</v>
      </c>
      <c r="C30" s="17">
        <v>29</v>
      </c>
      <c r="D30" s="17" t="s">
        <v>11</v>
      </c>
      <c r="E30" s="17">
        <v>-2</v>
      </c>
      <c r="F30" s="17" t="s">
        <v>19</v>
      </c>
      <c r="G30" s="17" t="s">
        <v>9</v>
      </c>
      <c r="H30" s="17" t="s">
        <v>7</v>
      </c>
      <c r="I30">
        <v>91</v>
      </c>
      <c r="J30" s="19" t="s">
        <v>56</v>
      </c>
      <c r="M30" t="b">
        <f>OR(AND(Games[[#This Row],[Status]]="G",Games[[#This Row],[Augen]]&gt;60),AND(Games[[#This Row],[Status]]="V",Games[[#This Row],[Augen]]&lt;=60),Games[[#This Row],[Grundwert]]="Ramsch",Games[[#This Row],[Grundwert]]="Null")</f>
        <v>1</v>
      </c>
    </row>
    <row r="31" spans="1:13" hidden="1" x14ac:dyDescent="0.25">
      <c r="A31" s="15">
        <v>43295</v>
      </c>
      <c r="B31" s="14">
        <v>1</v>
      </c>
      <c r="C31" s="17">
        <v>30</v>
      </c>
      <c r="D31" s="17" t="s">
        <v>6</v>
      </c>
      <c r="E31" s="17">
        <v>-2</v>
      </c>
      <c r="F31" s="17"/>
      <c r="G31" s="17" t="s">
        <v>5</v>
      </c>
      <c r="H31" s="17" t="s">
        <v>12</v>
      </c>
      <c r="I31">
        <v>52</v>
      </c>
      <c r="J31" s="19" t="s">
        <v>56</v>
      </c>
      <c r="M31" t="b">
        <f>OR(AND(Games[[#This Row],[Status]]="G",Games[[#This Row],[Augen]]&gt;60),AND(Games[[#This Row],[Status]]="V",Games[[#This Row],[Augen]]&lt;=60),Games[[#This Row],[Grundwert]]="Ramsch",Games[[#This Row],[Grundwert]]="Null")</f>
        <v>1</v>
      </c>
    </row>
    <row r="32" spans="1:13" hidden="1" x14ac:dyDescent="0.25">
      <c r="A32" s="15">
        <v>43295</v>
      </c>
      <c r="B32" s="14">
        <v>1</v>
      </c>
      <c r="C32" s="17">
        <v>31</v>
      </c>
      <c r="D32" s="17" t="s">
        <v>14</v>
      </c>
      <c r="E32" s="17">
        <v>-1</v>
      </c>
      <c r="F32" s="17"/>
      <c r="G32" s="17" t="s">
        <v>9</v>
      </c>
      <c r="H32" s="17" t="s">
        <v>12</v>
      </c>
      <c r="I32">
        <v>39</v>
      </c>
      <c r="J32" s="19" t="s">
        <v>56</v>
      </c>
      <c r="M32" t="b">
        <f>OR(AND(Games[[#This Row],[Status]]="G",Games[[#This Row],[Augen]]&gt;60),AND(Games[[#This Row],[Status]]="V",Games[[#This Row],[Augen]]&lt;=60),Games[[#This Row],[Grundwert]]="Ramsch",Games[[#This Row],[Grundwert]]="Null")</f>
        <v>1</v>
      </c>
    </row>
    <row r="33" spans="1:13" hidden="1" x14ac:dyDescent="0.25">
      <c r="A33" s="15">
        <v>43295</v>
      </c>
      <c r="B33" s="14">
        <v>1</v>
      </c>
      <c r="C33" s="17">
        <v>32</v>
      </c>
      <c r="D33" s="17" t="s">
        <v>17</v>
      </c>
      <c r="E33" s="17"/>
      <c r="F33" s="17"/>
      <c r="G33" s="17" t="s">
        <v>9</v>
      </c>
      <c r="H33" s="17" t="s">
        <v>12</v>
      </c>
      <c r="I33">
        <v>736</v>
      </c>
      <c r="M33" t="b">
        <f>OR(AND(Games[[#This Row],[Status]]="G",Games[[#This Row],[Augen]]&gt;60),AND(Games[[#This Row],[Status]]="V",Games[[#This Row],[Augen]]&lt;=60),Games[[#This Row],[Grundwert]]="Ramsch",Games[[#This Row],[Grundwert]]="Null")</f>
        <v>1</v>
      </c>
    </row>
    <row r="34" spans="1:13" hidden="1" x14ac:dyDescent="0.25">
      <c r="A34" s="15">
        <v>43295</v>
      </c>
      <c r="B34" s="14">
        <v>1</v>
      </c>
      <c r="C34" s="17">
        <v>33</v>
      </c>
      <c r="D34" s="17" t="s">
        <v>10</v>
      </c>
      <c r="E34" s="17">
        <v>-2</v>
      </c>
      <c r="F34" s="17" t="s">
        <v>22</v>
      </c>
      <c r="G34" s="17" t="s">
        <v>13</v>
      </c>
      <c r="H34" s="17" t="s">
        <v>7</v>
      </c>
      <c r="I34">
        <v>79</v>
      </c>
      <c r="M34" t="b">
        <f>OR(AND(Games[[#This Row],[Status]]="G",Games[[#This Row],[Augen]]&gt;60),AND(Games[[#This Row],[Status]]="V",Games[[#This Row],[Augen]]&lt;=60),Games[[#This Row],[Grundwert]]="Ramsch",Games[[#This Row],[Grundwert]]="Null")</f>
        <v>1</v>
      </c>
    </row>
    <row r="35" spans="1:13" hidden="1" x14ac:dyDescent="0.25">
      <c r="A35" s="15">
        <v>43295</v>
      </c>
      <c r="B35" s="14">
        <v>1</v>
      </c>
      <c r="C35" s="17">
        <v>34</v>
      </c>
      <c r="D35" s="17" t="s">
        <v>10</v>
      </c>
      <c r="E35" s="17">
        <v>-4</v>
      </c>
      <c r="F35" s="17" t="s">
        <v>22</v>
      </c>
      <c r="G35" s="17" t="s">
        <v>13</v>
      </c>
      <c r="H35" s="17" t="s">
        <v>12</v>
      </c>
      <c r="I35">
        <v>51</v>
      </c>
      <c r="M35" t="b">
        <f>OR(AND(Games[[#This Row],[Status]]="G",Games[[#This Row],[Augen]]&gt;60),AND(Games[[#This Row],[Status]]="V",Games[[#This Row],[Augen]]&lt;=60),Games[[#This Row],[Grundwert]]="Ramsch",Games[[#This Row],[Grundwert]]="Null")</f>
        <v>1</v>
      </c>
    </row>
    <row r="36" spans="1:13" hidden="1" x14ac:dyDescent="0.25">
      <c r="A36" s="15">
        <v>43295</v>
      </c>
      <c r="B36" s="14">
        <v>1</v>
      </c>
      <c r="C36" s="17">
        <v>35</v>
      </c>
      <c r="D36" s="17" t="s">
        <v>10</v>
      </c>
      <c r="E36" s="17">
        <v>1</v>
      </c>
      <c r="F36" s="17" t="s">
        <v>22</v>
      </c>
      <c r="G36" s="17" t="s">
        <v>5</v>
      </c>
      <c r="H36" s="17" t="s">
        <v>12</v>
      </c>
      <c r="I36">
        <v>51</v>
      </c>
      <c r="M36" t="b">
        <f>OR(AND(Games[[#This Row],[Status]]="G",Games[[#This Row],[Augen]]&gt;60),AND(Games[[#This Row],[Status]]="V",Games[[#This Row],[Augen]]&lt;=60),Games[[#This Row],[Grundwert]]="Ramsch",Games[[#This Row],[Grundwert]]="Null")</f>
        <v>1</v>
      </c>
    </row>
    <row r="37" spans="1:13" hidden="1" x14ac:dyDescent="0.25">
      <c r="A37" s="15">
        <v>43295</v>
      </c>
      <c r="B37" s="14">
        <v>1</v>
      </c>
      <c r="C37" s="17">
        <v>36</v>
      </c>
      <c r="D37" s="17" t="s">
        <v>10</v>
      </c>
      <c r="E37" s="17">
        <v>-1</v>
      </c>
      <c r="F37" s="17" t="s">
        <v>22</v>
      </c>
      <c r="G37" s="17" t="s">
        <v>9</v>
      </c>
      <c r="H37" s="17" t="s">
        <v>12</v>
      </c>
      <c r="I37">
        <v>36</v>
      </c>
      <c r="M37" t="b">
        <f>OR(AND(Games[[#This Row],[Status]]="G",Games[[#This Row],[Augen]]&gt;60),AND(Games[[#This Row],[Status]]="V",Games[[#This Row],[Augen]]&lt;=60),Games[[#This Row],[Grundwert]]="Ramsch",Games[[#This Row],[Grundwert]]="Null")</f>
        <v>1</v>
      </c>
    </row>
    <row r="38" spans="1:13" hidden="1" x14ac:dyDescent="0.25">
      <c r="A38" s="15">
        <v>43295</v>
      </c>
      <c r="B38" s="14">
        <v>1</v>
      </c>
      <c r="C38" s="17">
        <v>37</v>
      </c>
      <c r="D38" s="17" t="s">
        <v>10</v>
      </c>
      <c r="E38" s="17">
        <v>2</v>
      </c>
      <c r="F38" s="17" t="s">
        <v>22</v>
      </c>
      <c r="G38" s="17" t="s">
        <v>13</v>
      </c>
      <c r="H38" s="17" t="s">
        <v>7</v>
      </c>
      <c r="I38">
        <v>74</v>
      </c>
      <c r="M38" t="b">
        <f>OR(AND(Games[[#This Row],[Status]]="G",Games[[#This Row],[Augen]]&gt;60),AND(Games[[#This Row],[Status]]="V",Games[[#This Row],[Augen]]&lt;=60),Games[[#This Row],[Grundwert]]="Ramsch",Games[[#This Row],[Grundwert]]="Null")</f>
        <v>1</v>
      </c>
    </row>
    <row r="39" spans="1:13" hidden="1" x14ac:dyDescent="0.25">
      <c r="A39" s="15">
        <v>43295</v>
      </c>
      <c r="B39" s="14">
        <v>1</v>
      </c>
      <c r="C39" s="17">
        <v>38</v>
      </c>
      <c r="D39" s="17" t="s">
        <v>10</v>
      </c>
      <c r="E39" s="17">
        <v>3</v>
      </c>
      <c r="F39" s="17" t="s">
        <v>22</v>
      </c>
      <c r="G39" s="17" t="s">
        <v>9</v>
      </c>
      <c r="H39" s="17" t="s">
        <v>7</v>
      </c>
      <c r="I39">
        <v>78</v>
      </c>
      <c r="M39" t="b">
        <f>OR(AND(Games[[#This Row],[Status]]="G",Games[[#This Row],[Augen]]&gt;60),AND(Games[[#This Row],[Status]]="V",Games[[#This Row],[Augen]]&lt;=60),Games[[#This Row],[Grundwert]]="Ramsch",Games[[#This Row],[Grundwert]]="Null")</f>
        <v>1</v>
      </c>
    </row>
    <row r="40" spans="1:13" hidden="1" x14ac:dyDescent="0.25">
      <c r="A40" s="15">
        <v>43295</v>
      </c>
      <c r="B40" s="14">
        <v>1</v>
      </c>
      <c r="C40" s="17">
        <v>39</v>
      </c>
      <c r="D40" s="17" t="s">
        <v>17</v>
      </c>
      <c r="E40" s="17"/>
      <c r="F40" s="17"/>
      <c r="G40" s="17" t="s">
        <v>9</v>
      </c>
      <c r="H40" s="17" t="s">
        <v>12</v>
      </c>
      <c r="I40">
        <v>168</v>
      </c>
      <c r="M40" t="b">
        <f>OR(AND(Games[[#This Row],[Status]]="G",Games[[#This Row],[Augen]]&gt;60),AND(Games[[#This Row],[Status]]="V",Games[[#This Row],[Augen]]&lt;=60),Games[[#This Row],[Grundwert]]="Ramsch",Games[[#This Row],[Grundwert]]="Null")</f>
        <v>1</v>
      </c>
    </row>
    <row r="41" spans="1:13" hidden="1" x14ac:dyDescent="0.25">
      <c r="A41" s="15">
        <v>43295</v>
      </c>
      <c r="B41" s="14">
        <v>1</v>
      </c>
      <c r="C41" s="17">
        <v>40</v>
      </c>
      <c r="D41" s="17" t="s">
        <v>10</v>
      </c>
      <c r="E41" s="17">
        <v>3</v>
      </c>
      <c r="F41" s="17" t="s">
        <v>22</v>
      </c>
      <c r="G41" s="17" t="s">
        <v>5</v>
      </c>
      <c r="H41" s="17" t="s">
        <v>7</v>
      </c>
      <c r="I41">
        <v>71</v>
      </c>
      <c r="M41" t="b">
        <f>OR(AND(Games[[#This Row],[Status]]="G",Games[[#This Row],[Augen]]&gt;60),AND(Games[[#This Row],[Status]]="V",Games[[#This Row],[Augen]]&lt;=60),Games[[#This Row],[Grundwert]]="Ramsch",Games[[#This Row],[Grundwert]]="Null")</f>
        <v>1</v>
      </c>
    </row>
    <row r="42" spans="1:13" hidden="1" x14ac:dyDescent="0.25">
      <c r="A42" s="15">
        <v>43295</v>
      </c>
      <c r="B42" s="14">
        <v>1</v>
      </c>
      <c r="C42" s="17">
        <v>41</v>
      </c>
      <c r="D42" s="17" t="s">
        <v>17</v>
      </c>
      <c r="E42" s="17"/>
      <c r="F42" s="17"/>
      <c r="G42" s="17" t="s">
        <v>13</v>
      </c>
      <c r="H42" s="17" t="s">
        <v>12</v>
      </c>
      <c r="I42">
        <v>128</v>
      </c>
      <c r="M42" t="b">
        <f>OR(AND(Games[[#This Row],[Status]]="G",Games[[#This Row],[Augen]]&gt;60),AND(Games[[#This Row],[Status]]="V",Games[[#This Row],[Augen]]&lt;=60),Games[[#This Row],[Grundwert]]="Ramsch",Games[[#This Row],[Grundwert]]="Null")</f>
        <v>1</v>
      </c>
    </row>
    <row r="43" spans="1:13" hidden="1" x14ac:dyDescent="0.25">
      <c r="A43" s="15">
        <v>43295</v>
      </c>
      <c r="B43" s="14">
        <v>1</v>
      </c>
      <c r="C43" s="17">
        <v>42</v>
      </c>
      <c r="D43" s="17" t="s">
        <v>14</v>
      </c>
      <c r="E43" s="17">
        <v>-1</v>
      </c>
      <c r="F43" s="17"/>
      <c r="G43" s="17" t="s">
        <v>9</v>
      </c>
      <c r="H43" s="17" t="s">
        <v>7</v>
      </c>
      <c r="I43">
        <v>74</v>
      </c>
      <c r="J43" s="19" t="s">
        <v>56</v>
      </c>
      <c r="K43" t="s">
        <v>56</v>
      </c>
      <c r="M43" t="b">
        <f>OR(AND(Games[[#This Row],[Status]]="G",Games[[#This Row],[Augen]]&gt;60),AND(Games[[#This Row],[Status]]="V",Games[[#This Row],[Augen]]&lt;=60),Games[[#This Row],[Grundwert]]="Ramsch",Games[[#This Row],[Grundwert]]="Null")</f>
        <v>1</v>
      </c>
    </row>
    <row r="44" spans="1:13" hidden="1" x14ac:dyDescent="0.25">
      <c r="A44" s="15">
        <v>43295</v>
      </c>
      <c r="B44" s="14">
        <v>1</v>
      </c>
      <c r="C44" s="17">
        <v>43</v>
      </c>
      <c r="D44" s="17" t="s">
        <v>16</v>
      </c>
      <c r="E44" s="17">
        <v>3</v>
      </c>
      <c r="F44" s="17"/>
      <c r="G44" s="17" t="s">
        <v>9</v>
      </c>
      <c r="H44" s="17" t="s">
        <v>7</v>
      </c>
      <c r="I44">
        <v>84</v>
      </c>
      <c r="J44" s="19" t="s">
        <v>56</v>
      </c>
      <c r="M44" t="b">
        <f>OR(AND(Games[[#This Row],[Status]]="G",Games[[#This Row],[Augen]]&gt;60),AND(Games[[#This Row],[Status]]="V",Games[[#This Row],[Augen]]&lt;=60),Games[[#This Row],[Grundwert]]="Ramsch",Games[[#This Row],[Grundwert]]="Null")</f>
        <v>1</v>
      </c>
    </row>
    <row r="45" spans="1:13" hidden="1" x14ac:dyDescent="0.25">
      <c r="A45" s="15">
        <v>43323</v>
      </c>
      <c r="B45" s="14">
        <v>1</v>
      </c>
      <c r="C45" s="18">
        <v>1</v>
      </c>
      <c r="D45" s="18" t="s">
        <v>16</v>
      </c>
      <c r="E45" s="18">
        <v>-1</v>
      </c>
      <c r="F45" s="18"/>
      <c r="G45" s="18" t="s">
        <v>13</v>
      </c>
      <c r="H45" s="18" t="s">
        <v>12</v>
      </c>
      <c r="I45">
        <v>58</v>
      </c>
      <c r="M45" t="b">
        <f>OR(AND(Games[[#This Row],[Status]]="G",Games[[#This Row],[Augen]]&gt;60),AND(Games[[#This Row],[Status]]="V",Games[[#This Row],[Augen]]&lt;=60),Games[[#This Row],[Grundwert]]="Ramsch",Games[[#This Row],[Grundwert]]="Null")</f>
        <v>1</v>
      </c>
    </row>
    <row r="46" spans="1:13" hidden="1" x14ac:dyDescent="0.25">
      <c r="A46" s="15">
        <v>43323</v>
      </c>
      <c r="B46" s="14">
        <v>1</v>
      </c>
      <c r="C46" s="18">
        <v>2</v>
      </c>
      <c r="D46" s="18" t="s">
        <v>6</v>
      </c>
      <c r="E46" s="18">
        <v>3</v>
      </c>
      <c r="F46" s="18" t="s">
        <v>19</v>
      </c>
      <c r="G46" s="18" t="s">
        <v>9</v>
      </c>
      <c r="H46" s="18" t="s">
        <v>7</v>
      </c>
      <c r="I46">
        <v>96</v>
      </c>
      <c r="M46" t="b">
        <f>OR(AND(Games[[#This Row],[Status]]="G",Games[[#This Row],[Augen]]&gt;60),AND(Games[[#This Row],[Status]]="V",Games[[#This Row],[Augen]]&lt;=60),Games[[#This Row],[Grundwert]]="Ramsch",Games[[#This Row],[Grundwert]]="Null")</f>
        <v>1</v>
      </c>
    </row>
    <row r="47" spans="1:13" hidden="1" x14ac:dyDescent="0.25">
      <c r="A47" s="15">
        <v>43323</v>
      </c>
      <c r="B47" s="14">
        <v>1</v>
      </c>
      <c r="C47" s="18">
        <v>3</v>
      </c>
      <c r="D47" s="18" t="s">
        <v>17</v>
      </c>
      <c r="E47" s="18"/>
      <c r="F47" s="18"/>
      <c r="G47" s="18" t="s">
        <v>9</v>
      </c>
      <c r="H47" s="18" t="s">
        <v>12</v>
      </c>
      <c r="I47">
        <v>57</v>
      </c>
      <c r="M47" t="b">
        <f>OR(AND(Games[[#This Row],[Status]]="G",Games[[#This Row],[Augen]]&gt;60),AND(Games[[#This Row],[Status]]="V",Games[[#This Row],[Augen]]&lt;=60),Games[[#This Row],[Grundwert]]="Ramsch",Games[[#This Row],[Grundwert]]="Null")</f>
        <v>1</v>
      </c>
    </row>
    <row r="48" spans="1:13" hidden="1" x14ac:dyDescent="0.25">
      <c r="A48" s="15">
        <v>43323</v>
      </c>
      <c r="B48" s="14">
        <v>1</v>
      </c>
      <c r="C48" s="18">
        <v>4</v>
      </c>
      <c r="D48" s="18" t="s">
        <v>17</v>
      </c>
      <c r="E48" s="18"/>
      <c r="F48" s="18"/>
      <c r="G48" s="18" t="s">
        <v>13</v>
      </c>
      <c r="H48" s="18" t="s">
        <v>12</v>
      </c>
      <c r="I48">
        <v>76</v>
      </c>
      <c r="M48" t="b">
        <f>OR(AND(Games[[#This Row],[Status]]="G",Games[[#This Row],[Augen]]&gt;60),AND(Games[[#This Row],[Status]]="V",Games[[#This Row],[Augen]]&lt;=60),Games[[#This Row],[Grundwert]]="Ramsch",Games[[#This Row],[Grundwert]]="Null")</f>
        <v>1</v>
      </c>
    </row>
    <row r="49" spans="1:13" hidden="1" x14ac:dyDescent="0.25">
      <c r="A49" s="15">
        <v>43323</v>
      </c>
      <c r="B49" s="14">
        <v>1</v>
      </c>
      <c r="C49" s="18">
        <v>5</v>
      </c>
      <c r="D49" s="18" t="s">
        <v>14</v>
      </c>
      <c r="E49" s="18">
        <v>1</v>
      </c>
      <c r="F49" s="18" t="s">
        <v>19</v>
      </c>
      <c r="G49" s="18" t="s">
        <v>5</v>
      </c>
      <c r="H49" s="18" t="s">
        <v>7</v>
      </c>
      <c r="I49">
        <v>90</v>
      </c>
      <c r="M49" t="b">
        <f>OR(AND(Games[[#This Row],[Status]]="G",Games[[#This Row],[Augen]]&gt;60),AND(Games[[#This Row],[Status]]="V",Games[[#This Row],[Augen]]&lt;=60),Games[[#This Row],[Grundwert]]="Ramsch",Games[[#This Row],[Grundwert]]="Null")</f>
        <v>1</v>
      </c>
    </row>
    <row r="50" spans="1:13" hidden="1" x14ac:dyDescent="0.25">
      <c r="A50" s="15">
        <v>43323</v>
      </c>
      <c r="B50" s="14">
        <v>1</v>
      </c>
      <c r="C50" s="18">
        <v>6</v>
      </c>
      <c r="D50" s="18" t="s">
        <v>14</v>
      </c>
      <c r="E50" s="18">
        <v>2</v>
      </c>
      <c r="F50" s="18"/>
      <c r="G50" s="18" t="s">
        <v>13</v>
      </c>
      <c r="H50" s="18" t="s">
        <v>7</v>
      </c>
      <c r="I50">
        <v>72</v>
      </c>
      <c r="M50" t="b">
        <f>OR(AND(Games[[#This Row],[Status]]="G",Games[[#This Row],[Augen]]&gt;60),AND(Games[[#This Row],[Status]]="V",Games[[#This Row],[Augen]]&lt;=60),Games[[#This Row],[Grundwert]]="Ramsch",Games[[#This Row],[Grundwert]]="Null")</f>
        <v>1</v>
      </c>
    </row>
    <row r="51" spans="1:13" hidden="1" x14ac:dyDescent="0.25">
      <c r="A51" s="15">
        <v>43323</v>
      </c>
      <c r="B51" s="14">
        <v>1</v>
      </c>
      <c r="C51" s="18">
        <v>7</v>
      </c>
      <c r="D51" s="18" t="s">
        <v>10</v>
      </c>
      <c r="E51" s="18">
        <v>-2</v>
      </c>
      <c r="F51" s="18"/>
      <c r="G51" s="18" t="s">
        <v>9</v>
      </c>
      <c r="H51" s="18" t="s">
        <v>7</v>
      </c>
      <c r="I51">
        <v>82</v>
      </c>
      <c r="M51" t="b">
        <f>OR(AND(Games[[#This Row],[Status]]="G",Games[[#This Row],[Augen]]&gt;60),AND(Games[[#This Row],[Status]]="V",Games[[#This Row],[Augen]]&lt;=60),Games[[#This Row],[Grundwert]]="Ramsch",Games[[#This Row],[Grundwert]]="Null")</f>
        <v>1</v>
      </c>
    </row>
    <row r="52" spans="1:13" hidden="1" x14ac:dyDescent="0.25">
      <c r="A52" s="15">
        <v>43323</v>
      </c>
      <c r="B52" s="14">
        <v>1</v>
      </c>
      <c r="C52" s="18">
        <v>8</v>
      </c>
      <c r="D52" s="18" t="s">
        <v>14</v>
      </c>
      <c r="E52" s="18">
        <v>-4</v>
      </c>
      <c r="F52" s="18"/>
      <c r="G52" s="18" t="s">
        <v>5</v>
      </c>
      <c r="H52" s="18" t="s">
        <v>7</v>
      </c>
      <c r="I52">
        <v>63</v>
      </c>
      <c r="M52" t="b">
        <f>OR(AND(Games[[#This Row],[Status]]="G",Games[[#This Row],[Augen]]&gt;60),AND(Games[[#This Row],[Status]]="V",Games[[#This Row],[Augen]]&lt;=60),Games[[#This Row],[Grundwert]]="Ramsch",Games[[#This Row],[Grundwert]]="Null")</f>
        <v>1</v>
      </c>
    </row>
    <row r="53" spans="1:13" hidden="1" x14ac:dyDescent="0.25">
      <c r="A53" s="15">
        <v>43323</v>
      </c>
      <c r="B53" s="14">
        <v>1</v>
      </c>
      <c r="C53" s="18">
        <v>9</v>
      </c>
      <c r="D53" s="18" t="s">
        <v>14</v>
      </c>
      <c r="E53" s="18">
        <v>-1</v>
      </c>
      <c r="F53" s="18" t="s">
        <v>19</v>
      </c>
      <c r="G53" s="18" t="s">
        <v>13</v>
      </c>
      <c r="H53" s="18" t="s">
        <v>7</v>
      </c>
      <c r="I53">
        <v>100</v>
      </c>
      <c r="M53" t="b">
        <f>OR(AND(Games[[#This Row],[Status]]="G",Games[[#This Row],[Augen]]&gt;60),AND(Games[[#This Row],[Status]]="V",Games[[#This Row],[Augen]]&lt;=60),Games[[#This Row],[Grundwert]]="Ramsch",Games[[#This Row],[Grundwert]]="Null")</f>
        <v>1</v>
      </c>
    </row>
    <row r="54" spans="1:13" hidden="1" x14ac:dyDescent="0.25">
      <c r="A54" s="15">
        <v>43323</v>
      </c>
      <c r="B54" s="14">
        <v>1</v>
      </c>
      <c r="C54" s="18">
        <v>10</v>
      </c>
      <c r="D54" s="18" t="s">
        <v>11</v>
      </c>
      <c r="E54" s="18">
        <v>-1</v>
      </c>
      <c r="F54" s="18"/>
      <c r="G54" s="18" t="s">
        <v>9</v>
      </c>
      <c r="H54" s="18" t="s">
        <v>7</v>
      </c>
      <c r="I54">
        <v>79</v>
      </c>
      <c r="M54" t="b">
        <f>OR(AND(Games[[#This Row],[Status]]="G",Games[[#This Row],[Augen]]&gt;60),AND(Games[[#This Row],[Status]]="V",Games[[#This Row],[Augen]]&lt;=60),Games[[#This Row],[Grundwert]]="Ramsch",Games[[#This Row],[Grundwert]]="Null")</f>
        <v>1</v>
      </c>
    </row>
    <row r="55" spans="1:13" hidden="1" x14ac:dyDescent="0.25">
      <c r="A55" s="15">
        <v>43323</v>
      </c>
      <c r="B55" s="14">
        <v>1</v>
      </c>
      <c r="C55" s="18">
        <v>11</v>
      </c>
      <c r="D55" s="18" t="s">
        <v>14</v>
      </c>
      <c r="E55" s="18">
        <v>2</v>
      </c>
      <c r="F55" s="18"/>
      <c r="G55" s="18" t="s">
        <v>9</v>
      </c>
      <c r="H55" s="18" t="s">
        <v>7</v>
      </c>
      <c r="I55">
        <v>81</v>
      </c>
      <c r="M55" t="b">
        <f>OR(AND(Games[[#This Row],[Status]]="G",Games[[#This Row],[Augen]]&gt;60),AND(Games[[#This Row],[Status]]="V",Games[[#This Row],[Augen]]&lt;=60),Games[[#This Row],[Grundwert]]="Ramsch",Games[[#This Row],[Grundwert]]="Null")</f>
        <v>1</v>
      </c>
    </row>
    <row r="56" spans="1:13" hidden="1" x14ac:dyDescent="0.25">
      <c r="A56" s="15">
        <v>43323</v>
      </c>
      <c r="B56" s="14">
        <v>1</v>
      </c>
      <c r="C56" s="18">
        <v>12</v>
      </c>
      <c r="D56" s="18" t="s">
        <v>16</v>
      </c>
      <c r="E56" s="18">
        <v>-2</v>
      </c>
      <c r="F56" s="18"/>
      <c r="G56" s="18" t="s">
        <v>5</v>
      </c>
      <c r="H56" s="18" t="s">
        <v>12</v>
      </c>
      <c r="I56">
        <v>47</v>
      </c>
      <c r="M56" t="b">
        <f>OR(AND(Games[[#This Row],[Status]]="G",Games[[#This Row],[Augen]]&gt;60),AND(Games[[#This Row],[Status]]="V",Games[[#This Row],[Augen]]&lt;=60),Games[[#This Row],[Grundwert]]="Ramsch",Games[[#This Row],[Grundwert]]="Null")</f>
        <v>1</v>
      </c>
    </row>
    <row r="57" spans="1:13" hidden="1" x14ac:dyDescent="0.25">
      <c r="A57" s="15">
        <v>43323</v>
      </c>
      <c r="B57" s="14">
        <v>1</v>
      </c>
      <c r="C57" s="18">
        <v>13</v>
      </c>
      <c r="D57" s="18" t="s">
        <v>17</v>
      </c>
      <c r="E57" s="18"/>
      <c r="F57" s="18"/>
      <c r="G57" s="18" t="s">
        <v>13</v>
      </c>
      <c r="H57" s="18" t="s">
        <v>12</v>
      </c>
      <c r="I57">
        <v>94</v>
      </c>
      <c r="M57" t="b">
        <f>OR(AND(Games[[#This Row],[Status]]="G",Games[[#This Row],[Augen]]&gt;60),AND(Games[[#This Row],[Status]]="V",Games[[#This Row],[Augen]]&lt;=60),Games[[#This Row],[Grundwert]]="Ramsch",Games[[#This Row],[Grundwert]]="Null")</f>
        <v>1</v>
      </c>
    </row>
    <row r="58" spans="1:13" hidden="1" x14ac:dyDescent="0.25">
      <c r="A58" s="15">
        <v>43323</v>
      </c>
      <c r="B58" s="14">
        <v>1</v>
      </c>
      <c r="C58" s="18">
        <v>14</v>
      </c>
      <c r="D58" s="18" t="s">
        <v>6</v>
      </c>
      <c r="E58" s="18">
        <v>1</v>
      </c>
      <c r="F58" s="18"/>
      <c r="G58" s="18" t="s">
        <v>13</v>
      </c>
      <c r="H58" s="18" t="s">
        <v>12</v>
      </c>
      <c r="I58">
        <v>44</v>
      </c>
      <c r="M58" t="b">
        <f>OR(AND(Games[[#This Row],[Status]]="G",Games[[#This Row],[Augen]]&gt;60),AND(Games[[#This Row],[Status]]="V",Games[[#This Row],[Augen]]&lt;=60),Games[[#This Row],[Grundwert]]="Ramsch",Games[[#This Row],[Grundwert]]="Null")</f>
        <v>1</v>
      </c>
    </row>
    <row r="59" spans="1:13" hidden="1" x14ac:dyDescent="0.25">
      <c r="A59" s="15">
        <v>43323</v>
      </c>
      <c r="B59" s="14">
        <v>1</v>
      </c>
      <c r="C59" s="18">
        <v>15</v>
      </c>
      <c r="D59" s="18" t="s">
        <v>6</v>
      </c>
      <c r="E59" s="18">
        <v>-1</v>
      </c>
      <c r="F59" s="18"/>
      <c r="G59" s="18" t="s">
        <v>13</v>
      </c>
      <c r="H59" s="18" t="s">
        <v>7</v>
      </c>
      <c r="I59">
        <v>84</v>
      </c>
      <c r="M59" t="b">
        <f>OR(AND(Games[[#This Row],[Status]]="G",Games[[#This Row],[Augen]]&gt;60),AND(Games[[#This Row],[Status]]="V",Games[[#This Row],[Augen]]&lt;=60),Games[[#This Row],[Grundwert]]="Ramsch",Games[[#This Row],[Grundwert]]="Null")</f>
        <v>1</v>
      </c>
    </row>
    <row r="60" spans="1:13" hidden="1" x14ac:dyDescent="0.25">
      <c r="A60" s="15">
        <v>43323</v>
      </c>
      <c r="B60" s="14">
        <v>1</v>
      </c>
      <c r="C60" s="18">
        <v>16</v>
      </c>
      <c r="D60" s="18" t="s">
        <v>10</v>
      </c>
      <c r="E60" s="18">
        <v>-1</v>
      </c>
      <c r="F60" s="18"/>
      <c r="G60" s="18" t="s">
        <v>5</v>
      </c>
      <c r="H60" s="18" t="s">
        <v>7</v>
      </c>
      <c r="I60">
        <v>77</v>
      </c>
      <c r="M60" t="b">
        <f>OR(AND(Games[[#This Row],[Status]]="G",Games[[#This Row],[Augen]]&gt;60),AND(Games[[#This Row],[Status]]="V",Games[[#This Row],[Augen]]&lt;=60),Games[[#This Row],[Grundwert]]="Ramsch",Games[[#This Row],[Grundwert]]="Null")</f>
        <v>1</v>
      </c>
    </row>
    <row r="61" spans="1:13" hidden="1" x14ac:dyDescent="0.25">
      <c r="A61" s="15">
        <v>43323</v>
      </c>
      <c r="B61" s="14">
        <v>1</v>
      </c>
      <c r="C61" s="18">
        <v>17</v>
      </c>
      <c r="D61" s="18" t="s">
        <v>10</v>
      </c>
      <c r="E61" s="18">
        <v>1</v>
      </c>
      <c r="F61" s="18" t="s">
        <v>54</v>
      </c>
      <c r="G61" s="18" t="s">
        <v>5</v>
      </c>
      <c r="H61" s="18" t="s">
        <v>7</v>
      </c>
      <c r="I61">
        <v>120</v>
      </c>
      <c r="M61" t="b">
        <f>OR(AND(Games[[#This Row],[Status]]="G",Games[[#This Row],[Augen]]&gt;60),AND(Games[[#This Row],[Status]]="V",Games[[#This Row],[Augen]]&lt;=60),Games[[#This Row],[Grundwert]]="Ramsch",Games[[#This Row],[Grundwert]]="Null")</f>
        <v>1</v>
      </c>
    </row>
    <row r="62" spans="1:13" hidden="1" x14ac:dyDescent="0.25">
      <c r="A62" s="15">
        <v>43323</v>
      </c>
      <c r="B62" s="14">
        <v>1</v>
      </c>
      <c r="C62" s="18">
        <v>18</v>
      </c>
      <c r="D62" s="18" t="s">
        <v>10</v>
      </c>
      <c r="E62" s="18">
        <v>3</v>
      </c>
      <c r="F62" s="18"/>
      <c r="G62" s="18" t="s">
        <v>13</v>
      </c>
      <c r="H62" s="18" t="s">
        <v>12</v>
      </c>
      <c r="I62">
        <v>56</v>
      </c>
      <c r="M62" t="b">
        <f>OR(AND(Games[[#This Row],[Status]]="G",Games[[#This Row],[Augen]]&gt;60),AND(Games[[#This Row],[Status]]="V",Games[[#This Row],[Augen]]&lt;=60),Games[[#This Row],[Grundwert]]="Ramsch",Games[[#This Row],[Grundwert]]="Null")</f>
        <v>1</v>
      </c>
    </row>
    <row r="63" spans="1:13" hidden="1" x14ac:dyDescent="0.25">
      <c r="A63" s="15">
        <v>43323</v>
      </c>
      <c r="B63" s="14">
        <v>1</v>
      </c>
      <c r="C63" s="18">
        <v>19</v>
      </c>
      <c r="D63" s="18" t="s">
        <v>6</v>
      </c>
      <c r="E63" s="18">
        <v>1</v>
      </c>
      <c r="F63" s="18"/>
      <c r="G63" s="18" t="s">
        <v>5</v>
      </c>
      <c r="H63" s="18" t="s">
        <v>7</v>
      </c>
      <c r="I63">
        <v>79</v>
      </c>
      <c r="M63" t="b">
        <f>OR(AND(Games[[#This Row],[Status]]="G",Games[[#This Row],[Augen]]&gt;60),AND(Games[[#This Row],[Status]]="V",Games[[#This Row],[Augen]]&lt;=60),Games[[#This Row],[Grundwert]]="Ramsch",Games[[#This Row],[Grundwert]]="Null")</f>
        <v>1</v>
      </c>
    </row>
    <row r="64" spans="1:13" hidden="1" x14ac:dyDescent="0.25">
      <c r="A64" s="15">
        <v>43323</v>
      </c>
      <c r="B64" s="14">
        <v>1</v>
      </c>
      <c r="C64" s="18">
        <v>20</v>
      </c>
      <c r="D64" s="18" t="s">
        <v>16</v>
      </c>
      <c r="E64" s="18">
        <v>2</v>
      </c>
      <c r="F64" s="18" t="s">
        <v>19</v>
      </c>
      <c r="G64" s="18" t="s">
        <v>5</v>
      </c>
      <c r="H64" s="18" t="s">
        <v>7</v>
      </c>
      <c r="I64">
        <v>96</v>
      </c>
      <c r="M64" t="b">
        <f>OR(AND(Games[[#This Row],[Status]]="G",Games[[#This Row],[Augen]]&gt;60),AND(Games[[#This Row],[Status]]="V",Games[[#This Row],[Augen]]&lt;=60),Games[[#This Row],[Grundwert]]="Ramsch",Games[[#This Row],[Grundwert]]="Null")</f>
        <v>1</v>
      </c>
    </row>
    <row r="65" spans="1:13" hidden="1" x14ac:dyDescent="0.25">
      <c r="A65" s="15">
        <v>43323</v>
      </c>
      <c r="B65" s="14">
        <v>1</v>
      </c>
      <c r="C65" s="18">
        <v>21</v>
      </c>
      <c r="D65" s="18" t="s">
        <v>16</v>
      </c>
      <c r="E65" s="18">
        <v>-1</v>
      </c>
      <c r="F65" s="18"/>
      <c r="G65" s="18" t="s">
        <v>5</v>
      </c>
      <c r="H65" s="18" t="s">
        <v>7</v>
      </c>
      <c r="I65">
        <v>65</v>
      </c>
      <c r="M65" t="b">
        <f>OR(AND(Games[[#This Row],[Status]]="G",Games[[#This Row],[Augen]]&gt;60),AND(Games[[#This Row],[Status]]="V",Games[[#This Row],[Augen]]&lt;=60),Games[[#This Row],[Grundwert]]="Ramsch",Games[[#This Row],[Grundwert]]="Null")</f>
        <v>1</v>
      </c>
    </row>
    <row r="66" spans="1:13" hidden="1" x14ac:dyDescent="0.25">
      <c r="A66" s="15">
        <v>43323</v>
      </c>
      <c r="B66" s="14">
        <v>1</v>
      </c>
      <c r="C66" s="18">
        <v>22</v>
      </c>
      <c r="D66" s="18" t="s">
        <v>15</v>
      </c>
      <c r="E66" s="18"/>
      <c r="F66" s="18"/>
      <c r="G66" s="18" t="s">
        <v>5</v>
      </c>
      <c r="H66" s="18" t="s">
        <v>12</v>
      </c>
      <c r="I66">
        <v>0</v>
      </c>
      <c r="M66" t="b">
        <f>OR(AND(Games[[#This Row],[Status]]="G",Games[[#This Row],[Augen]]&gt;60),AND(Games[[#This Row],[Status]]="V",Games[[#This Row],[Augen]]&lt;=60),Games[[#This Row],[Grundwert]]="Ramsch",Games[[#This Row],[Grundwert]]="Null")</f>
        <v>1</v>
      </c>
    </row>
    <row r="67" spans="1:13" hidden="1" x14ac:dyDescent="0.25">
      <c r="A67" s="15">
        <v>43323</v>
      </c>
      <c r="B67" s="14">
        <v>1</v>
      </c>
      <c r="C67" s="18">
        <v>23</v>
      </c>
      <c r="D67" s="18" t="s">
        <v>16</v>
      </c>
      <c r="E67" s="18">
        <v>1</v>
      </c>
      <c r="F67" s="18"/>
      <c r="G67" s="18" t="s">
        <v>5</v>
      </c>
      <c r="H67" s="18" t="s">
        <v>7</v>
      </c>
      <c r="I67">
        <v>80</v>
      </c>
      <c r="M67" t="b">
        <f>OR(AND(Games[[#This Row],[Status]]="G",Games[[#This Row],[Augen]]&gt;60),AND(Games[[#This Row],[Status]]="V",Games[[#This Row],[Augen]]&lt;=60),Games[[#This Row],[Grundwert]]="Ramsch",Games[[#This Row],[Grundwert]]="Null")</f>
        <v>1</v>
      </c>
    </row>
    <row r="68" spans="1:13" hidden="1" x14ac:dyDescent="0.25">
      <c r="A68" s="15">
        <v>43323</v>
      </c>
      <c r="B68" s="14">
        <v>1</v>
      </c>
      <c r="C68" s="18">
        <v>24</v>
      </c>
      <c r="D68" s="18" t="s">
        <v>16</v>
      </c>
      <c r="E68" s="18">
        <v>-1</v>
      </c>
      <c r="F68" s="18"/>
      <c r="G68" s="18" t="s">
        <v>9</v>
      </c>
      <c r="H68" s="18" t="s">
        <v>7</v>
      </c>
      <c r="I68">
        <v>89</v>
      </c>
      <c r="M68" t="b">
        <f>OR(AND(Games[[#This Row],[Status]]="G",Games[[#This Row],[Augen]]&gt;60),AND(Games[[#This Row],[Status]]="V",Games[[#This Row],[Augen]]&lt;=60),Games[[#This Row],[Grundwert]]="Ramsch",Games[[#This Row],[Grundwert]]="Null")</f>
        <v>1</v>
      </c>
    </row>
    <row r="69" spans="1:13" hidden="1" x14ac:dyDescent="0.25">
      <c r="A69" s="15">
        <v>43323</v>
      </c>
      <c r="B69" s="14">
        <v>1</v>
      </c>
      <c r="C69" s="18">
        <v>25</v>
      </c>
      <c r="D69" s="18" t="s">
        <v>6</v>
      </c>
      <c r="E69" s="18">
        <v>1</v>
      </c>
      <c r="F69" s="18" t="s">
        <v>19</v>
      </c>
      <c r="G69" s="18" t="s">
        <v>9</v>
      </c>
      <c r="H69" s="18" t="s">
        <v>7</v>
      </c>
      <c r="I69">
        <v>108</v>
      </c>
      <c r="M69" t="b">
        <f>OR(AND(Games[[#This Row],[Status]]="G",Games[[#This Row],[Augen]]&gt;60),AND(Games[[#This Row],[Status]]="V",Games[[#This Row],[Augen]]&lt;=60),Games[[#This Row],[Grundwert]]="Ramsch",Games[[#This Row],[Grundwert]]="Null")</f>
        <v>1</v>
      </c>
    </row>
    <row r="70" spans="1:13" hidden="1" x14ac:dyDescent="0.25">
      <c r="A70" s="15">
        <v>43323</v>
      </c>
      <c r="B70" s="14">
        <v>1</v>
      </c>
      <c r="C70" s="18">
        <v>26</v>
      </c>
      <c r="D70" s="18" t="s">
        <v>6</v>
      </c>
      <c r="E70" s="18">
        <v>2</v>
      </c>
      <c r="F70" s="18"/>
      <c r="G70" s="18" t="s">
        <v>5</v>
      </c>
      <c r="H70" s="18" t="s">
        <v>7</v>
      </c>
      <c r="I70">
        <v>77</v>
      </c>
      <c r="M70" t="b">
        <f>OR(AND(Games[[#This Row],[Status]]="G",Games[[#This Row],[Augen]]&gt;60),AND(Games[[#This Row],[Status]]="V",Games[[#This Row],[Augen]]&lt;=60),Games[[#This Row],[Grundwert]]="Ramsch",Games[[#This Row],[Grundwert]]="Null")</f>
        <v>1</v>
      </c>
    </row>
    <row r="71" spans="1:13" hidden="1" x14ac:dyDescent="0.25">
      <c r="A71" s="15">
        <v>43323</v>
      </c>
      <c r="B71" s="14">
        <v>1</v>
      </c>
      <c r="C71" s="18">
        <v>27</v>
      </c>
      <c r="D71" s="18" t="s">
        <v>16</v>
      </c>
      <c r="E71" s="18">
        <v>1</v>
      </c>
      <c r="F71" s="18"/>
      <c r="G71" s="18" t="s">
        <v>9</v>
      </c>
      <c r="H71" s="18" t="s">
        <v>12</v>
      </c>
      <c r="I71">
        <v>50</v>
      </c>
      <c r="M71" t="b">
        <f>OR(AND(Games[[#This Row],[Status]]="G",Games[[#This Row],[Augen]]&gt;60),AND(Games[[#This Row],[Status]]="V",Games[[#This Row],[Augen]]&lt;=60),Games[[#This Row],[Grundwert]]="Ramsch",Games[[#This Row],[Grundwert]]="Null")</f>
        <v>1</v>
      </c>
    </row>
    <row r="72" spans="1:13" hidden="1" x14ac:dyDescent="0.25">
      <c r="A72" s="15">
        <v>43323</v>
      </c>
      <c r="B72" s="14">
        <v>1</v>
      </c>
      <c r="C72" s="18">
        <v>28</v>
      </c>
      <c r="D72" s="18" t="s">
        <v>6</v>
      </c>
      <c r="E72" s="18">
        <v>-2</v>
      </c>
      <c r="F72" s="18" t="s">
        <v>19</v>
      </c>
      <c r="G72" s="18" t="s">
        <v>5</v>
      </c>
      <c r="H72" s="18" t="s">
        <v>7</v>
      </c>
      <c r="I72">
        <v>106</v>
      </c>
      <c r="M72" t="b">
        <f>OR(AND(Games[[#This Row],[Status]]="G",Games[[#This Row],[Augen]]&gt;60),AND(Games[[#This Row],[Status]]="V",Games[[#This Row],[Augen]]&lt;=60),Games[[#This Row],[Grundwert]]="Ramsch",Games[[#This Row],[Grundwert]]="Null")</f>
        <v>1</v>
      </c>
    </row>
    <row r="73" spans="1:13" hidden="1" x14ac:dyDescent="0.25">
      <c r="A73" s="15">
        <v>43323</v>
      </c>
      <c r="B73" s="14">
        <v>1</v>
      </c>
      <c r="C73" s="18">
        <v>29</v>
      </c>
      <c r="D73" s="18" t="s">
        <v>15</v>
      </c>
      <c r="E73" s="18"/>
      <c r="F73" s="18" t="s">
        <v>30</v>
      </c>
      <c r="G73" s="18" t="s">
        <v>5</v>
      </c>
      <c r="H73" s="18" t="s">
        <v>7</v>
      </c>
      <c r="I73">
        <v>0</v>
      </c>
      <c r="M73" t="b">
        <f>OR(AND(Games[[#This Row],[Status]]="G",Games[[#This Row],[Augen]]&gt;60),AND(Games[[#This Row],[Status]]="V",Games[[#This Row],[Augen]]&lt;=60),Games[[#This Row],[Grundwert]]="Ramsch",Games[[#This Row],[Grundwert]]="Null")</f>
        <v>1</v>
      </c>
    </row>
    <row r="74" spans="1:13" hidden="1" x14ac:dyDescent="0.25">
      <c r="A74" s="15">
        <v>43323</v>
      </c>
      <c r="B74" s="14">
        <v>1</v>
      </c>
      <c r="C74" s="18">
        <v>30</v>
      </c>
      <c r="D74" s="18" t="s">
        <v>14</v>
      </c>
      <c r="E74" s="18">
        <v>2</v>
      </c>
      <c r="F74" s="18" t="s">
        <v>19</v>
      </c>
      <c r="G74" s="18" t="s">
        <v>9</v>
      </c>
      <c r="H74" s="18" t="s">
        <v>7</v>
      </c>
      <c r="I74">
        <v>90</v>
      </c>
      <c r="M74" t="b">
        <f>OR(AND(Games[[#This Row],[Status]]="G",Games[[#This Row],[Augen]]&gt;60),AND(Games[[#This Row],[Status]]="V",Games[[#This Row],[Augen]]&lt;=60),Games[[#This Row],[Grundwert]]="Ramsch",Games[[#This Row],[Grundwert]]="Null")</f>
        <v>1</v>
      </c>
    </row>
    <row r="75" spans="1:13" hidden="1" x14ac:dyDescent="0.25">
      <c r="A75" s="15">
        <v>43323</v>
      </c>
      <c r="B75" s="14">
        <v>1</v>
      </c>
      <c r="C75" s="18">
        <v>31</v>
      </c>
      <c r="D75" s="18" t="s">
        <v>6</v>
      </c>
      <c r="E75" s="18">
        <v>-1</v>
      </c>
      <c r="F75" s="18"/>
      <c r="G75" s="18" t="s">
        <v>5</v>
      </c>
      <c r="H75" s="18" t="s">
        <v>12</v>
      </c>
      <c r="I75">
        <v>58</v>
      </c>
      <c r="M75" t="b">
        <f>OR(AND(Games[[#This Row],[Status]]="G",Games[[#This Row],[Augen]]&gt;60),AND(Games[[#This Row],[Status]]="V",Games[[#This Row],[Augen]]&lt;=60),Games[[#This Row],[Grundwert]]="Ramsch",Games[[#This Row],[Grundwert]]="Null")</f>
        <v>1</v>
      </c>
    </row>
    <row r="76" spans="1:13" hidden="1" x14ac:dyDescent="0.25">
      <c r="A76" s="15">
        <v>43323</v>
      </c>
      <c r="B76" s="14">
        <v>1</v>
      </c>
      <c r="C76" s="18">
        <v>32</v>
      </c>
      <c r="D76" s="18" t="s">
        <v>10</v>
      </c>
      <c r="E76" s="18">
        <v>1</v>
      </c>
      <c r="F76" s="18" t="s">
        <v>22</v>
      </c>
      <c r="G76" s="18" t="s">
        <v>9</v>
      </c>
      <c r="H76" s="18" t="s">
        <v>7</v>
      </c>
      <c r="I76">
        <v>72</v>
      </c>
      <c r="M76" t="b">
        <f>OR(AND(Games[[#This Row],[Status]]="G",Games[[#This Row],[Augen]]&gt;60),AND(Games[[#This Row],[Status]]="V",Games[[#This Row],[Augen]]&lt;=60),Games[[#This Row],[Grundwert]]="Ramsch",Games[[#This Row],[Grundwert]]="Null")</f>
        <v>1</v>
      </c>
    </row>
    <row r="77" spans="1:13" hidden="1" x14ac:dyDescent="0.25">
      <c r="A77" s="15">
        <v>43323</v>
      </c>
      <c r="B77" s="14">
        <v>1</v>
      </c>
      <c r="C77" s="18">
        <v>33</v>
      </c>
      <c r="D77" s="18" t="s">
        <v>14</v>
      </c>
      <c r="E77" s="18">
        <v>-1</v>
      </c>
      <c r="F77" s="18"/>
      <c r="G77" s="18" t="s">
        <v>9</v>
      </c>
      <c r="H77" s="18" t="s">
        <v>12</v>
      </c>
      <c r="I77">
        <v>46</v>
      </c>
      <c r="M77" t="b">
        <f>OR(AND(Games[[#This Row],[Status]]="G",Games[[#This Row],[Augen]]&gt;60),AND(Games[[#This Row],[Status]]="V",Games[[#This Row],[Augen]]&lt;=60),Games[[#This Row],[Grundwert]]="Ramsch",Games[[#This Row],[Grundwert]]="Null")</f>
        <v>1</v>
      </c>
    </row>
    <row r="78" spans="1:13" hidden="1" x14ac:dyDescent="0.25">
      <c r="A78" s="15">
        <v>43323</v>
      </c>
      <c r="B78" s="14">
        <v>1</v>
      </c>
      <c r="C78" s="18">
        <v>34</v>
      </c>
      <c r="D78" s="18" t="s">
        <v>11</v>
      </c>
      <c r="E78" s="18">
        <v>3</v>
      </c>
      <c r="F78" s="18" t="s">
        <v>19</v>
      </c>
      <c r="G78" s="18" t="s">
        <v>5</v>
      </c>
      <c r="H78" s="18" t="s">
        <v>7</v>
      </c>
      <c r="I78">
        <v>95</v>
      </c>
      <c r="M78" t="b">
        <f>OR(AND(Games[[#This Row],[Status]]="G",Games[[#This Row],[Augen]]&gt;60),AND(Games[[#This Row],[Status]]="V",Games[[#This Row],[Augen]]&lt;=60),Games[[#This Row],[Grundwert]]="Ramsch",Games[[#This Row],[Grundwert]]="Null")</f>
        <v>1</v>
      </c>
    </row>
    <row r="79" spans="1:13" hidden="1" x14ac:dyDescent="0.25">
      <c r="A79" s="15">
        <v>43323</v>
      </c>
      <c r="B79" s="14">
        <v>1</v>
      </c>
      <c r="C79" s="18">
        <v>35</v>
      </c>
      <c r="D79" s="18" t="s">
        <v>16</v>
      </c>
      <c r="E79" s="18">
        <v>-2</v>
      </c>
      <c r="F79" s="18"/>
      <c r="G79" s="18" t="s">
        <v>13</v>
      </c>
      <c r="H79" s="18" t="s">
        <v>7</v>
      </c>
      <c r="I79">
        <v>88</v>
      </c>
      <c r="M79" t="b">
        <f>OR(AND(Games[[#This Row],[Status]]="G",Games[[#This Row],[Augen]]&gt;60),AND(Games[[#This Row],[Status]]="V",Games[[#This Row],[Augen]]&lt;=60),Games[[#This Row],[Grundwert]]="Ramsch",Games[[#This Row],[Grundwert]]="Null")</f>
        <v>1</v>
      </c>
    </row>
    <row r="80" spans="1:13" hidden="1" x14ac:dyDescent="0.25">
      <c r="A80" s="15">
        <v>43323</v>
      </c>
      <c r="B80" s="14">
        <v>1</v>
      </c>
      <c r="C80" s="18">
        <v>36</v>
      </c>
      <c r="D80" s="18" t="s">
        <v>11</v>
      </c>
      <c r="E80" s="18">
        <v>-1</v>
      </c>
      <c r="F80" s="18"/>
      <c r="G80" s="18" t="s">
        <v>9</v>
      </c>
      <c r="H80" s="18" t="s">
        <v>7</v>
      </c>
      <c r="I80">
        <v>70</v>
      </c>
      <c r="M80" t="b">
        <f>OR(AND(Games[[#This Row],[Status]]="G",Games[[#This Row],[Augen]]&gt;60),AND(Games[[#This Row],[Status]]="V",Games[[#This Row],[Augen]]&lt;=60),Games[[#This Row],[Grundwert]]="Ramsch",Games[[#This Row],[Grundwert]]="Null")</f>
        <v>1</v>
      </c>
    </row>
    <row r="81" spans="1:13" hidden="1" x14ac:dyDescent="0.25">
      <c r="A81" s="15">
        <v>43323</v>
      </c>
      <c r="B81" s="14">
        <v>2</v>
      </c>
      <c r="C81" s="18">
        <v>1</v>
      </c>
      <c r="D81" s="18" t="s">
        <v>14</v>
      </c>
      <c r="E81" s="18">
        <v>-2</v>
      </c>
      <c r="F81" s="18" t="s">
        <v>25</v>
      </c>
      <c r="G81" s="18" t="s">
        <v>13</v>
      </c>
      <c r="H81" s="18" t="s">
        <v>7</v>
      </c>
      <c r="I81">
        <v>91</v>
      </c>
      <c r="M81" t="b">
        <f>OR(AND(Games[[#This Row],[Status]]="G",Games[[#This Row],[Augen]]&gt;60),AND(Games[[#This Row],[Status]]="V",Games[[#This Row],[Augen]]&lt;=60),Games[[#This Row],[Grundwert]]="Ramsch",Games[[#This Row],[Grundwert]]="Null")</f>
        <v>1</v>
      </c>
    </row>
    <row r="82" spans="1:13" hidden="1" x14ac:dyDescent="0.25">
      <c r="A82" s="15">
        <v>43323</v>
      </c>
      <c r="B82" s="14">
        <v>2</v>
      </c>
      <c r="C82" s="18">
        <v>2</v>
      </c>
      <c r="D82" s="18" t="s">
        <v>11</v>
      </c>
      <c r="E82" s="18">
        <v>1</v>
      </c>
      <c r="F82" s="18"/>
      <c r="G82" s="18" t="s">
        <v>5</v>
      </c>
      <c r="H82" s="18" t="s">
        <v>12</v>
      </c>
      <c r="I82">
        <v>48</v>
      </c>
      <c r="M82" t="b">
        <f>OR(AND(Games[[#This Row],[Status]]="G",Games[[#This Row],[Augen]]&gt;60),AND(Games[[#This Row],[Status]]="V",Games[[#This Row],[Augen]]&lt;=60),Games[[#This Row],[Grundwert]]="Ramsch",Games[[#This Row],[Grundwert]]="Null")</f>
        <v>1</v>
      </c>
    </row>
    <row r="83" spans="1:13" hidden="1" x14ac:dyDescent="0.25">
      <c r="A83" s="15">
        <v>43323</v>
      </c>
      <c r="B83" s="14">
        <v>2</v>
      </c>
      <c r="C83" s="18">
        <v>3</v>
      </c>
      <c r="D83" s="18" t="s">
        <v>16</v>
      </c>
      <c r="E83" s="18">
        <v>-1</v>
      </c>
      <c r="F83" s="18"/>
      <c r="G83" s="18" t="s">
        <v>13</v>
      </c>
      <c r="H83" s="18" t="s">
        <v>7</v>
      </c>
      <c r="I83">
        <v>89</v>
      </c>
      <c r="M83" t="b">
        <f>OR(AND(Games[[#This Row],[Status]]="G",Games[[#This Row],[Augen]]&gt;60),AND(Games[[#This Row],[Status]]="V",Games[[#This Row],[Augen]]&lt;=60),Games[[#This Row],[Grundwert]]="Ramsch",Games[[#This Row],[Grundwert]]="Null")</f>
        <v>1</v>
      </c>
    </row>
    <row r="84" spans="1:13" hidden="1" x14ac:dyDescent="0.25">
      <c r="A84" s="15">
        <v>43323</v>
      </c>
      <c r="B84" s="14">
        <v>2</v>
      </c>
      <c r="C84" s="18">
        <v>4</v>
      </c>
      <c r="D84" s="18" t="s">
        <v>17</v>
      </c>
      <c r="E84" s="18"/>
      <c r="F84" s="18"/>
      <c r="G84" s="18" t="s">
        <v>13</v>
      </c>
      <c r="H84" s="18" t="s">
        <v>12</v>
      </c>
      <c r="I84">
        <v>61</v>
      </c>
      <c r="M84" t="b">
        <f>OR(AND(Games[[#This Row],[Status]]="G",Games[[#This Row],[Augen]]&gt;60),AND(Games[[#This Row],[Status]]="V",Games[[#This Row],[Augen]]&lt;=60),Games[[#This Row],[Grundwert]]="Ramsch",Games[[#This Row],[Grundwert]]="Null")</f>
        <v>1</v>
      </c>
    </row>
    <row r="85" spans="1:13" hidden="1" x14ac:dyDescent="0.25">
      <c r="A85" s="15">
        <v>43323</v>
      </c>
      <c r="B85" s="14">
        <v>2</v>
      </c>
      <c r="C85" s="18">
        <v>5</v>
      </c>
      <c r="D85" s="18" t="s">
        <v>16</v>
      </c>
      <c r="E85" s="18">
        <v>3</v>
      </c>
      <c r="F85" s="18"/>
      <c r="G85" s="18" t="s">
        <v>5</v>
      </c>
      <c r="H85" s="18" t="s">
        <v>7</v>
      </c>
      <c r="I85">
        <v>72</v>
      </c>
      <c r="M85" t="b">
        <f>OR(AND(Games[[#This Row],[Status]]="G",Games[[#This Row],[Augen]]&gt;60),AND(Games[[#This Row],[Status]]="V",Games[[#This Row],[Augen]]&lt;=60),Games[[#This Row],[Grundwert]]="Ramsch",Games[[#This Row],[Grundwert]]="Null")</f>
        <v>1</v>
      </c>
    </row>
    <row r="86" spans="1:13" hidden="1" x14ac:dyDescent="0.25">
      <c r="A86" s="15">
        <v>43323</v>
      </c>
      <c r="B86" s="14">
        <v>2</v>
      </c>
      <c r="C86" s="18">
        <v>6</v>
      </c>
      <c r="D86" s="18" t="s">
        <v>10</v>
      </c>
      <c r="E86" s="18">
        <v>2</v>
      </c>
      <c r="F86" s="18"/>
      <c r="G86" s="18" t="s">
        <v>9</v>
      </c>
      <c r="H86" s="18" t="s">
        <v>7</v>
      </c>
      <c r="I86">
        <v>89</v>
      </c>
      <c r="M86" t="b">
        <f>OR(AND(Games[[#This Row],[Status]]="G",Games[[#This Row],[Augen]]&gt;60),AND(Games[[#This Row],[Status]]="V",Games[[#This Row],[Augen]]&lt;=60),Games[[#This Row],[Grundwert]]="Ramsch",Games[[#This Row],[Grundwert]]="Null")</f>
        <v>1</v>
      </c>
    </row>
    <row r="87" spans="1:13" hidden="1" x14ac:dyDescent="0.25">
      <c r="A87" s="15">
        <v>43323</v>
      </c>
      <c r="B87" s="14">
        <v>2</v>
      </c>
      <c r="C87" s="18">
        <v>7</v>
      </c>
      <c r="D87" s="18" t="s">
        <v>15</v>
      </c>
      <c r="E87" s="18"/>
      <c r="F87" s="18"/>
      <c r="G87" s="18" t="s">
        <v>13</v>
      </c>
      <c r="H87" s="18" t="s">
        <v>12</v>
      </c>
      <c r="I87">
        <v>0</v>
      </c>
      <c r="M87" t="b">
        <f>OR(AND(Games[[#This Row],[Status]]="G",Games[[#This Row],[Augen]]&gt;60),AND(Games[[#This Row],[Status]]="V",Games[[#This Row],[Augen]]&lt;=60),Games[[#This Row],[Grundwert]]="Ramsch",Games[[#This Row],[Grundwert]]="Null")</f>
        <v>1</v>
      </c>
    </row>
    <row r="88" spans="1:13" hidden="1" x14ac:dyDescent="0.25">
      <c r="A88" s="15">
        <v>43323</v>
      </c>
      <c r="B88" s="14">
        <v>2</v>
      </c>
      <c r="C88" s="18">
        <v>8</v>
      </c>
      <c r="D88" s="18" t="s">
        <v>16</v>
      </c>
      <c r="E88" s="18">
        <v>3</v>
      </c>
      <c r="F88" s="18" t="s">
        <v>19</v>
      </c>
      <c r="G88" s="18" t="s">
        <v>13</v>
      </c>
      <c r="H88" s="18" t="s">
        <v>7</v>
      </c>
      <c r="I88">
        <v>97</v>
      </c>
      <c r="M88" t="b">
        <f>OR(AND(Games[[#This Row],[Status]]="G",Games[[#This Row],[Augen]]&gt;60),AND(Games[[#This Row],[Status]]="V",Games[[#This Row],[Augen]]&lt;=60),Games[[#This Row],[Grundwert]]="Ramsch",Games[[#This Row],[Grundwert]]="Null")</f>
        <v>1</v>
      </c>
    </row>
    <row r="89" spans="1:13" hidden="1" x14ac:dyDescent="0.25">
      <c r="A89" s="15">
        <v>43323</v>
      </c>
      <c r="B89" s="14">
        <v>2</v>
      </c>
      <c r="C89" s="18">
        <v>9</v>
      </c>
      <c r="D89" s="18" t="s">
        <v>14</v>
      </c>
      <c r="E89" s="18">
        <v>1</v>
      </c>
      <c r="F89" s="18"/>
      <c r="G89" s="18" t="s">
        <v>9</v>
      </c>
      <c r="H89" s="18" t="s">
        <v>7</v>
      </c>
      <c r="I89">
        <v>70</v>
      </c>
      <c r="M89" t="b">
        <f>OR(AND(Games[[#This Row],[Status]]="G",Games[[#This Row],[Augen]]&gt;60),AND(Games[[#This Row],[Status]]="V",Games[[#This Row],[Augen]]&lt;=60),Games[[#This Row],[Grundwert]]="Ramsch",Games[[#This Row],[Grundwert]]="Null")</f>
        <v>1</v>
      </c>
    </row>
    <row r="90" spans="1:13" hidden="1" x14ac:dyDescent="0.25">
      <c r="A90" s="15">
        <v>43345</v>
      </c>
      <c r="B90" s="14">
        <v>1</v>
      </c>
      <c r="C90" s="25">
        <v>1</v>
      </c>
      <c r="D90" s="25" t="s">
        <v>6</v>
      </c>
      <c r="E90" s="25">
        <v>-1</v>
      </c>
      <c r="F90" s="25"/>
      <c r="G90" s="25" t="s">
        <v>9</v>
      </c>
      <c r="H90" s="25" t="s">
        <v>7</v>
      </c>
      <c r="I90">
        <v>87</v>
      </c>
      <c r="J90" s="25"/>
      <c r="M90" t="b">
        <f>OR(AND(Games[[#This Row],[Status]]="G",Games[[#This Row],[Augen]]&gt;60),AND(Games[[#This Row],[Status]]="V",Games[[#This Row],[Augen]]&lt;=60),Games[[#This Row],[Grundwert]]="Ramsch",Games[[#This Row],[Grundwert]]="Null")</f>
        <v>1</v>
      </c>
    </row>
    <row r="91" spans="1:13" hidden="1" x14ac:dyDescent="0.25">
      <c r="A91" s="15">
        <v>43345</v>
      </c>
      <c r="B91" s="14">
        <v>1</v>
      </c>
      <c r="C91" s="25">
        <v>2</v>
      </c>
      <c r="D91" s="25" t="s">
        <v>15</v>
      </c>
      <c r="E91" s="25"/>
      <c r="F91" s="25"/>
      <c r="G91" s="25" t="s">
        <v>13</v>
      </c>
      <c r="H91" s="25" t="s">
        <v>12</v>
      </c>
      <c r="J91" s="25"/>
      <c r="M91" t="b">
        <f>OR(AND(Games[[#This Row],[Status]]="G",Games[[#This Row],[Augen]]&gt;60),AND(Games[[#This Row],[Status]]="V",Games[[#This Row],[Augen]]&lt;=60),Games[[#This Row],[Grundwert]]="Ramsch",Games[[#This Row],[Grundwert]]="Null")</f>
        <v>1</v>
      </c>
    </row>
    <row r="92" spans="1:13" hidden="1" x14ac:dyDescent="0.25">
      <c r="A92" s="15">
        <v>43345</v>
      </c>
      <c r="B92" s="14">
        <v>1</v>
      </c>
      <c r="C92" s="25">
        <v>3</v>
      </c>
      <c r="D92" s="25" t="s">
        <v>10</v>
      </c>
      <c r="E92" s="25">
        <v>4</v>
      </c>
      <c r="F92" s="25"/>
      <c r="G92" s="25" t="s">
        <v>9</v>
      </c>
      <c r="H92" s="25" t="s">
        <v>7</v>
      </c>
      <c r="I92">
        <v>74</v>
      </c>
      <c r="J92" s="25"/>
      <c r="M92" t="b">
        <f>OR(AND(Games[[#This Row],[Status]]="G",Games[[#This Row],[Augen]]&gt;60),AND(Games[[#This Row],[Status]]="V",Games[[#This Row],[Augen]]&lt;=60),Games[[#This Row],[Grundwert]]="Ramsch",Games[[#This Row],[Grundwert]]="Null")</f>
        <v>1</v>
      </c>
    </row>
    <row r="93" spans="1:13" hidden="1" x14ac:dyDescent="0.25">
      <c r="A93" s="15">
        <v>43345</v>
      </c>
      <c r="B93" s="14">
        <v>1</v>
      </c>
      <c r="C93" s="25">
        <v>4</v>
      </c>
      <c r="D93" s="25" t="s">
        <v>16</v>
      </c>
      <c r="E93" s="25">
        <v>3</v>
      </c>
      <c r="F93" s="25" t="s">
        <v>22</v>
      </c>
      <c r="G93" s="25" t="s">
        <v>13</v>
      </c>
      <c r="H93" s="25" t="s">
        <v>7</v>
      </c>
      <c r="I93">
        <v>76</v>
      </c>
      <c r="J93" s="25"/>
      <c r="M93" t="b">
        <f>OR(AND(Games[[#This Row],[Status]]="G",Games[[#This Row],[Augen]]&gt;60),AND(Games[[#This Row],[Status]]="V",Games[[#This Row],[Augen]]&lt;=60),Games[[#This Row],[Grundwert]]="Ramsch",Games[[#This Row],[Grundwert]]="Null")</f>
        <v>1</v>
      </c>
    </row>
    <row r="94" spans="1:13" hidden="1" x14ac:dyDescent="0.25">
      <c r="A94" s="15">
        <v>43345</v>
      </c>
      <c r="B94" s="14">
        <v>1</v>
      </c>
      <c r="C94" s="25">
        <v>5</v>
      </c>
      <c r="D94" s="25" t="s">
        <v>17</v>
      </c>
      <c r="E94" s="25"/>
      <c r="F94" s="25"/>
      <c r="G94" s="25" t="s">
        <v>5</v>
      </c>
      <c r="H94" s="25" t="s">
        <v>12</v>
      </c>
      <c r="I94">
        <v>62</v>
      </c>
      <c r="J94" s="25"/>
      <c r="M94" t="b">
        <f>OR(AND(Games[[#This Row],[Status]]="G",Games[[#This Row],[Augen]]&gt;60),AND(Games[[#This Row],[Status]]="V",Games[[#This Row],[Augen]]&lt;=60),Games[[#This Row],[Grundwert]]="Ramsch",Games[[#This Row],[Grundwert]]="Null")</f>
        <v>1</v>
      </c>
    </row>
    <row r="95" spans="1:13" hidden="1" x14ac:dyDescent="0.25">
      <c r="A95" s="15">
        <v>43345</v>
      </c>
      <c r="B95" s="14">
        <v>1</v>
      </c>
      <c r="C95" s="25">
        <v>6</v>
      </c>
      <c r="D95" s="25" t="s">
        <v>16</v>
      </c>
      <c r="E95" s="25">
        <v>1</v>
      </c>
      <c r="F95" s="25"/>
      <c r="G95" s="25" t="s">
        <v>5</v>
      </c>
      <c r="H95" s="25" t="s">
        <v>12</v>
      </c>
      <c r="I95">
        <v>69</v>
      </c>
      <c r="J95" s="25"/>
      <c r="M95" t="b">
        <f>OR(AND(Games[[#This Row],[Status]]="G",Games[[#This Row],[Augen]]&gt;60),AND(Games[[#This Row],[Status]]="V",Games[[#This Row],[Augen]]&lt;=60),Games[[#This Row],[Grundwert]]="Ramsch",Games[[#This Row],[Grundwert]]="Null")</f>
        <v>0</v>
      </c>
    </row>
    <row r="96" spans="1:13" hidden="1" x14ac:dyDescent="0.25">
      <c r="A96" s="15">
        <v>43345</v>
      </c>
      <c r="B96" s="14">
        <v>1</v>
      </c>
      <c r="C96" s="25">
        <v>7</v>
      </c>
      <c r="D96" s="25" t="s">
        <v>16</v>
      </c>
      <c r="E96" s="25">
        <v>1</v>
      </c>
      <c r="F96" s="25"/>
      <c r="G96" s="25" t="s">
        <v>9</v>
      </c>
      <c r="H96" s="25" t="s">
        <v>7</v>
      </c>
      <c r="I96">
        <v>68</v>
      </c>
      <c r="J96" s="25"/>
      <c r="M96" t="b">
        <f>OR(AND(Games[[#This Row],[Status]]="G",Games[[#This Row],[Augen]]&gt;60),AND(Games[[#This Row],[Status]]="V",Games[[#This Row],[Augen]]&lt;=60),Games[[#This Row],[Grundwert]]="Ramsch",Games[[#This Row],[Grundwert]]="Null")</f>
        <v>1</v>
      </c>
    </row>
    <row r="97" spans="1:13" hidden="1" x14ac:dyDescent="0.25">
      <c r="A97" s="15">
        <v>43345</v>
      </c>
      <c r="B97" s="14">
        <v>1</v>
      </c>
      <c r="C97" s="25">
        <v>8</v>
      </c>
      <c r="D97" s="25" t="s">
        <v>14</v>
      </c>
      <c r="E97" s="25">
        <v>2</v>
      </c>
      <c r="F97" s="25"/>
      <c r="G97" s="25" t="s">
        <v>9</v>
      </c>
      <c r="H97" s="25" t="s">
        <v>12</v>
      </c>
      <c r="I97">
        <v>52</v>
      </c>
      <c r="J97" s="25"/>
      <c r="M97" t="b">
        <f>OR(AND(Games[[#This Row],[Status]]="G",Games[[#This Row],[Augen]]&gt;60),AND(Games[[#This Row],[Status]]="V",Games[[#This Row],[Augen]]&lt;=60),Games[[#This Row],[Grundwert]]="Ramsch",Games[[#This Row],[Grundwert]]="Null")</f>
        <v>1</v>
      </c>
    </row>
    <row r="98" spans="1:13" hidden="1" x14ac:dyDescent="0.25">
      <c r="A98" s="15">
        <v>43345</v>
      </c>
      <c r="B98" s="14">
        <v>1</v>
      </c>
      <c r="C98" s="25">
        <v>9</v>
      </c>
      <c r="D98" s="25" t="s">
        <v>15</v>
      </c>
      <c r="E98" s="25"/>
      <c r="F98" s="25"/>
      <c r="G98" s="25" t="s">
        <v>5</v>
      </c>
      <c r="H98" s="25" t="s">
        <v>12</v>
      </c>
      <c r="J98" s="25"/>
      <c r="M98" t="b">
        <f>OR(AND(Games[[#This Row],[Status]]="G",Games[[#This Row],[Augen]]&gt;60),AND(Games[[#This Row],[Status]]="V",Games[[#This Row],[Augen]]&lt;=60),Games[[#This Row],[Grundwert]]="Ramsch",Games[[#This Row],[Grundwert]]="Null")</f>
        <v>1</v>
      </c>
    </row>
    <row r="99" spans="1:13" hidden="1" x14ac:dyDescent="0.25">
      <c r="A99" s="15">
        <v>43345</v>
      </c>
      <c r="B99" s="14">
        <v>1</v>
      </c>
      <c r="C99" s="25">
        <v>10</v>
      </c>
      <c r="D99" s="25" t="s">
        <v>16</v>
      </c>
      <c r="E99" s="25">
        <v>-1</v>
      </c>
      <c r="F99" s="25"/>
      <c r="G99" s="25" t="s">
        <v>9</v>
      </c>
      <c r="H99" s="25" t="s">
        <v>7</v>
      </c>
      <c r="I99">
        <v>82</v>
      </c>
      <c r="J99" s="25"/>
      <c r="M99" t="b">
        <f>OR(AND(Games[[#This Row],[Status]]="G",Games[[#This Row],[Augen]]&gt;60),AND(Games[[#This Row],[Status]]="V",Games[[#This Row],[Augen]]&lt;=60),Games[[#This Row],[Grundwert]]="Ramsch",Games[[#This Row],[Grundwert]]="Null")</f>
        <v>1</v>
      </c>
    </row>
    <row r="100" spans="1:13" hidden="1" x14ac:dyDescent="0.25">
      <c r="A100" s="15">
        <v>43345</v>
      </c>
      <c r="B100" s="14">
        <v>1</v>
      </c>
      <c r="C100" s="25">
        <v>11</v>
      </c>
      <c r="D100" s="25" t="s">
        <v>15</v>
      </c>
      <c r="E100" s="25"/>
      <c r="F100" s="25" t="s">
        <v>30</v>
      </c>
      <c r="G100" s="25" t="s">
        <v>9</v>
      </c>
      <c r="H100" s="25" t="s">
        <v>7</v>
      </c>
      <c r="J100" s="25"/>
      <c r="M100" t="b">
        <f>OR(AND(Games[[#This Row],[Status]]="G",Games[[#This Row],[Augen]]&gt;60),AND(Games[[#This Row],[Status]]="V",Games[[#This Row],[Augen]]&lt;=60),Games[[#This Row],[Grundwert]]="Ramsch",Games[[#This Row],[Grundwert]]="Null")</f>
        <v>1</v>
      </c>
    </row>
    <row r="101" spans="1:13" hidden="1" x14ac:dyDescent="0.25">
      <c r="A101" s="15">
        <v>43345</v>
      </c>
      <c r="B101" s="14">
        <v>1</v>
      </c>
      <c r="C101" s="25">
        <v>12</v>
      </c>
      <c r="D101" s="25" t="s">
        <v>14</v>
      </c>
      <c r="E101" s="25">
        <v>-3</v>
      </c>
      <c r="F101" s="25"/>
      <c r="G101" s="25" t="s">
        <v>5</v>
      </c>
      <c r="H101" s="25" t="s">
        <v>12</v>
      </c>
      <c r="I101">
        <v>59</v>
      </c>
      <c r="J101" s="25"/>
      <c r="M101" t="b">
        <f>OR(AND(Games[[#This Row],[Status]]="G",Games[[#This Row],[Augen]]&gt;60),AND(Games[[#This Row],[Status]]="V",Games[[#This Row],[Augen]]&lt;=60),Games[[#This Row],[Grundwert]]="Ramsch",Games[[#This Row],[Grundwert]]="Null")</f>
        <v>1</v>
      </c>
    </row>
    <row r="102" spans="1:13" hidden="1" x14ac:dyDescent="0.25">
      <c r="A102" s="15">
        <v>43345</v>
      </c>
      <c r="B102" s="14">
        <v>1</v>
      </c>
      <c r="C102" s="25">
        <v>13</v>
      </c>
      <c r="D102" s="25" t="s">
        <v>11</v>
      </c>
      <c r="E102" s="25">
        <v>-1</v>
      </c>
      <c r="F102" s="25"/>
      <c r="G102" s="25" t="s">
        <v>9</v>
      </c>
      <c r="H102" s="25" t="s">
        <v>7</v>
      </c>
      <c r="I102">
        <v>85</v>
      </c>
      <c r="J102" s="25"/>
      <c r="M102" t="b">
        <f>OR(AND(Games[[#This Row],[Status]]="G",Games[[#This Row],[Augen]]&gt;60),AND(Games[[#This Row],[Status]]="V",Games[[#This Row],[Augen]]&lt;=60),Games[[#This Row],[Grundwert]]="Ramsch",Games[[#This Row],[Grundwert]]="Null")</f>
        <v>1</v>
      </c>
    </row>
    <row r="103" spans="1:13" hidden="1" x14ac:dyDescent="0.25">
      <c r="A103" s="15">
        <v>43345</v>
      </c>
      <c r="B103" s="14">
        <v>1</v>
      </c>
      <c r="C103" s="25">
        <v>14</v>
      </c>
      <c r="D103" s="25" t="s">
        <v>10</v>
      </c>
      <c r="E103" s="25">
        <v>1</v>
      </c>
      <c r="F103" s="25" t="s">
        <v>19</v>
      </c>
      <c r="G103" s="25" t="s">
        <v>5</v>
      </c>
      <c r="H103" s="25" t="s">
        <v>7</v>
      </c>
      <c r="I103">
        <v>91</v>
      </c>
      <c r="J103" s="25"/>
      <c r="M103" t="b">
        <f>OR(AND(Games[[#This Row],[Status]]="G",Games[[#This Row],[Augen]]&gt;60),AND(Games[[#This Row],[Status]]="V",Games[[#This Row],[Augen]]&lt;=60),Games[[#This Row],[Grundwert]]="Ramsch",Games[[#This Row],[Grundwert]]="Null")</f>
        <v>1</v>
      </c>
    </row>
    <row r="104" spans="1:13" hidden="1" x14ac:dyDescent="0.25">
      <c r="A104" s="15">
        <v>43345</v>
      </c>
      <c r="B104" s="14">
        <v>1</v>
      </c>
      <c r="C104" s="25">
        <v>15</v>
      </c>
      <c r="D104" s="25" t="s">
        <v>16</v>
      </c>
      <c r="E104" s="25">
        <v>1</v>
      </c>
      <c r="F104" s="25"/>
      <c r="G104" s="25" t="s">
        <v>5</v>
      </c>
      <c r="H104" s="25" t="s">
        <v>7</v>
      </c>
      <c r="I104">
        <v>73</v>
      </c>
      <c r="J104" s="25"/>
      <c r="M104" t="b">
        <f>OR(AND(Games[[#This Row],[Status]]="G",Games[[#This Row],[Augen]]&gt;60),AND(Games[[#This Row],[Status]]="V",Games[[#This Row],[Augen]]&lt;=60),Games[[#This Row],[Grundwert]]="Ramsch",Games[[#This Row],[Grundwert]]="Null")</f>
        <v>1</v>
      </c>
    </row>
    <row r="105" spans="1:13" hidden="1" x14ac:dyDescent="0.25">
      <c r="A105" s="15">
        <v>43345</v>
      </c>
      <c r="B105" s="14">
        <v>1</v>
      </c>
      <c r="C105" s="25">
        <v>16</v>
      </c>
      <c r="D105" s="25" t="s">
        <v>11</v>
      </c>
      <c r="E105" s="25">
        <v>2</v>
      </c>
      <c r="F105" s="25"/>
      <c r="G105" s="25" t="s">
        <v>9</v>
      </c>
      <c r="H105" s="25" t="s">
        <v>7</v>
      </c>
      <c r="I105">
        <v>84</v>
      </c>
      <c r="J105" s="25"/>
      <c r="M105" t="b">
        <f>OR(AND(Games[[#This Row],[Status]]="G",Games[[#This Row],[Augen]]&gt;60),AND(Games[[#This Row],[Status]]="V",Games[[#This Row],[Augen]]&lt;=60),Games[[#This Row],[Grundwert]]="Ramsch",Games[[#This Row],[Grundwert]]="Null")</f>
        <v>1</v>
      </c>
    </row>
    <row r="106" spans="1:13" hidden="1" x14ac:dyDescent="0.25">
      <c r="A106" s="15">
        <v>43345</v>
      </c>
      <c r="B106" s="14">
        <v>1</v>
      </c>
      <c r="C106" s="25">
        <v>17</v>
      </c>
      <c r="D106" s="25" t="s">
        <v>11</v>
      </c>
      <c r="E106" s="25">
        <v>1</v>
      </c>
      <c r="F106" s="25"/>
      <c r="G106" s="25" t="s">
        <v>5</v>
      </c>
      <c r="H106" s="25" t="s">
        <v>7</v>
      </c>
      <c r="I106">
        <v>87</v>
      </c>
      <c r="J106" s="25"/>
      <c r="M106" t="b">
        <f>OR(AND(Games[[#This Row],[Status]]="G",Games[[#This Row],[Augen]]&gt;60),AND(Games[[#This Row],[Status]]="V",Games[[#This Row],[Augen]]&lt;=60),Games[[#This Row],[Grundwert]]="Ramsch",Games[[#This Row],[Grundwert]]="Null")</f>
        <v>1</v>
      </c>
    </row>
    <row r="107" spans="1:13" hidden="1" x14ac:dyDescent="0.25">
      <c r="A107" s="15">
        <v>43345</v>
      </c>
      <c r="B107" s="14">
        <v>1</v>
      </c>
      <c r="C107" s="25">
        <v>18</v>
      </c>
      <c r="D107" s="25" t="s">
        <v>15</v>
      </c>
      <c r="E107" s="25"/>
      <c r="F107" s="25"/>
      <c r="G107" s="25" t="s">
        <v>5</v>
      </c>
      <c r="H107" s="25" t="s">
        <v>7</v>
      </c>
      <c r="J107" s="25"/>
      <c r="M107" t="b">
        <f>OR(AND(Games[[#This Row],[Status]]="G",Games[[#This Row],[Augen]]&gt;60),AND(Games[[#This Row],[Status]]="V",Games[[#This Row],[Augen]]&lt;=60),Games[[#This Row],[Grundwert]]="Ramsch",Games[[#This Row],[Grundwert]]="Null")</f>
        <v>1</v>
      </c>
    </row>
    <row r="108" spans="1:13" hidden="1" x14ac:dyDescent="0.25">
      <c r="A108" s="15">
        <v>43345</v>
      </c>
      <c r="B108" s="14">
        <v>1</v>
      </c>
      <c r="C108" s="25">
        <v>19</v>
      </c>
      <c r="D108" s="25" t="s">
        <v>16</v>
      </c>
      <c r="E108" s="25">
        <v>-1</v>
      </c>
      <c r="F108" s="25"/>
      <c r="G108" s="25" t="s">
        <v>9</v>
      </c>
      <c r="H108" s="25" t="s">
        <v>7</v>
      </c>
      <c r="I108">
        <v>73</v>
      </c>
      <c r="J108" s="25"/>
      <c r="M108" t="b">
        <f>OR(AND(Games[[#This Row],[Status]]="G",Games[[#This Row],[Augen]]&gt;60),AND(Games[[#This Row],[Status]]="V",Games[[#This Row],[Augen]]&lt;=60),Games[[#This Row],[Grundwert]]="Ramsch",Games[[#This Row],[Grundwert]]="Null")</f>
        <v>1</v>
      </c>
    </row>
    <row r="109" spans="1:13" hidden="1" x14ac:dyDescent="0.25">
      <c r="A109" s="15">
        <v>43345</v>
      </c>
      <c r="B109" s="14">
        <v>1</v>
      </c>
      <c r="C109" s="25">
        <v>20</v>
      </c>
      <c r="D109" s="25" t="s">
        <v>11</v>
      </c>
      <c r="E109" s="25">
        <v>-2</v>
      </c>
      <c r="F109" s="25" t="s">
        <v>19</v>
      </c>
      <c r="G109" s="25" t="s">
        <v>13</v>
      </c>
      <c r="H109" s="25" t="s">
        <v>7</v>
      </c>
      <c r="I109">
        <v>97</v>
      </c>
      <c r="J109" s="25"/>
      <c r="M109" t="b">
        <f>OR(AND(Games[[#This Row],[Status]]="G",Games[[#This Row],[Augen]]&gt;60),AND(Games[[#This Row],[Status]]="V",Games[[#This Row],[Augen]]&lt;=60),Games[[#This Row],[Grundwert]]="Ramsch",Games[[#This Row],[Grundwert]]="Null")</f>
        <v>1</v>
      </c>
    </row>
    <row r="110" spans="1:13" hidden="1" x14ac:dyDescent="0.25">
      <c r="A110" s="15">
        <v>43345</v>
      </c>
      <c r="B110" s="14">
        <v>1</v>
      </c>
      <c r="C110" s="25">
        <v>21</v>
      </c>
      <c r="D110" s="25" t="s">
        <v>11</v>
      </c>
      <c r="E110" s="25">
        <v>1</v>
      </c>
      <c r="F110" s="25"/>
      <c r="G110" s="25" t="s">
        <v>13</v>
      </c>
      <c r="H110" s="25" t="s">
        <v>7</v>
      </c>
      <c r="I110">
        <v>61</v>
      </c>
      <c r="J110" s="25"/>
      <c r="M110" t="b">
        <f>OR(AND(Games[[#This Row],[Status]]="G",Games[[#This Row],[Augen]]&gt;60),AND(Games[[#This Row],[Status]]="V",Games[[#This Row],[Augen]]&lt;=60),Games[[#This Row],[Grundwert]]="Ramsch",Games[[#This Row],[Grundwert]]="Null")</f>
        <v>1</v>
      </c>
    </row>
    <row r="111" spans="1:13" hidden="1" x14ac:dyDescent="0.25">
      <c r="A111" s="15">
        <v>43345</v>
      </c>
      <c r="B111" s="14">
        <v>1</v>
      </c>
      <c r="C111" s="25">
        <v>22</v>
      </c>
      <c r="D111" s="25" t="s">
        <v>11</v>
      </c>
      <c r="E111" s="25">
        <v>1</v>
      </c>
      <c r="F111" s="25"/>
      <c r="G111" s="25" t="s">
        <v>5</v>
      </c>
      <c r="H111" s="25" t="s">
        <v>7</v>
      </c>
      <c r="I111">
        <v>68</v>
      </c>
      <c r="J111" s="25"/>
      <c r="M111" t="b">
        <f>OR(AND(Games[[#This Row],[Status]]="G",Games[[#This Row],[Augen]]&gt;60),AND(Games[[#This Row],[Status]]="V",Games[[#This Row],[Augen]]&lt;=60),Games[[#This Row],[Grundwert]]="Ramsch",Games[[#This Row],[Grundwert]]="Null")</f>
        <v>1</v>
      </c>
    </row>
    <row r="112" spans="1:13" hidden="1" x14ac:dyDescent="0.25">
      <c r="A112" s="15">
        <v>43345</v>
      </c>
      <c r="B112" s="14">
        <v>1</v>
      </c>
      <c r="C112" s="25">
        <v>23</v>
      </c>
      <c r="D112" s="25" t="s">
        <v>14</v>
      </c>
      <c r="E112" s="25">
        <v>2</v>
      </c>
      <c r="F112" s="25" t="s">
        <v>19</v>
      </c>
      <c r="G112" s="25" t="s">
        <v>9</v>
      </c>
      <c r="H112" s="25" t="s">
        <v>7</v>
      </c>
      <c r="I112">
        <v>101</v>
      </c>
      <c r="J112" s="25"/>
      <c r="M112" t="b">
        <f>OR(AND(Games[[#This Row],[Status]]="G",Games[[#This Row],[Augen]]&gt;60),AND(Games[[#This Row],[Status]]="V",Games[[#This Row],[Augen]]&lt;=60),Games[[#This Row],[Grundwert]]="Ramsch",Games[[#This Row],[Grundwert]]="Null")</f>
        <v>1</v>
      </c>
    </row>
    <row r="113" spans="1:13" hidden="1" x14ac:dyDescent="0.25">
      <c r="A113" s="15">
        <v>43345</v>
      </c>
      <c r="B113" s="14">
        <v>1</v>
      </c>
      <c r="C113" s="25">
        <v>24</v>
      </c>
      <c r="D113" s="25" t="s">
        <v>15</v>
      </c>
      <c r="E113" s="25"/>
      <c r="F113" s="25"/>
      <c r="G113" s="25" t="s">
        <v>9</v>
      </c>
      <c r="H113" s="25" t="s">
        <v>7</v>
      </c>
      <c r="J113" s="25"/>
      <c r="M113" t="b">
        <f>OR(AND(Games[[#This Row],[Status]]="G",Games[[#This Row],[Augen]]&gt;60),AND(Games[[#This Row],[Status]]="V",Games[[#This Row],[Augen]]&lt;=60),Games[[#This Row],[Grundwert]]="Ramsch",Games[[#This Row],[Grundwert]]="Null")</f>
        <v>1</v>
      </c>
    </row>
    <row r="114" spans="1:13" hidden="1" x14ac:dyDescent="0.25">
      <c r="A114" s="15">
        <v>43345</v>
      </c>
      <c r="B114" s="14">
        <v>1</v>
      </c>
      <c r="C114" s="25">
        <v>25</v>
      </c>
      <c r="D114" s="25" t="s">
        <v>15</v>
      </c>
      <c r="E114" s="25"/>
      <c r="F114" s="25"/>
      <c r="G114" s="25" t="s">
        <v>13</v>
      </c>
      <c r="H114" s="25" t="s">
        <v>12</v>
      </c>
      <c r="J114" s="25"/>
      <c r="M114" t="b">
        <f>OR(AND(Games[[#This Row],[Status]]="G",Games[[#This Row],[Augen]]&gt;60),AND(Games[[#This Row],[Status]]="V",Games[[#This Row],[Augen]]&lt;=60),Games[[#This Row],[Grundwert]]="Ramsch",Games[[#This Row],[Grundwert]]="Null")</f>
        <v>1</v>
      </c>
    </row>
    <row r="115" spans="1:13" hidden="1" x14ac:dyDescent="0.25">
      <c r="A115" s="15">
        <v>43345</v>
      </c>
      <c r="B115" s="14">
        <v>1</v>
      </c>
      <c r="C115" s="25">
        <v>26</v>
      </c>
      <c r="D115" s="25" t="s">
        <v>16</v>
      </c>
      <c r="E115" s="25">
        <v>2</v>
      </c>
      <c r="F115" s="25"/>
      <c r="G115" s="25" t="s">
        <v>5</v>
      </c>
      <c r="H115" s="25" t="s">
        <v>12</v>
      </c>
      <c r="I115">
        <v>32</v>
      </c>
      <c r="J115" s="25"/>
      <c r="M115" t="b">
        <f>OR(AND(Games[[#This Row],[Status]]="G",Games[[#This Row],[Augen]]&gt;60),AND(Games[[#This Row],[Status]]="V",Games[[#This Row],[Augen]]&lt;=60),Games[[#This Row],[Grundwert]]="Ramsch",Games[[#This Row],[Grundwert]]="Null")</f>
        <v>1</v>
      </c>
    </row>
    <row r="116" spans="1:13" hidden="1" x14ac:dyDescent="0.25">
      <c r="A116" s="15">
        <v>43345</v>
      </c>
      <c r="B116" s="14">
        <v>1</v>
      </c>
      <c r="C116" s="25">
        <v>27</v>
      </c>
      <c r="D116" s="25" t="s">
        <v>6</v>
      </c>
      <c r="E116" s="25">
        <v>4</v>
      </c>
      <c r="F116" s="25"/>
      <c r="G116" s="25" t="s">
        <v>5</v>
      </c>
      <c r="H116" s="25" t="s">
        <v>7</v>
      </c>
      <c r="I116">
        <v>69</v>
      </c>
      <c r="J116" s="25"/>
      <c r="M116" t="b">
        <f>OR(AND(Games[[#This Row],[Status]]="G",Games[[#This Row],[Augen]]&gt;60),AND(Games[[#This Row],[Status]]="V",Games[[#This Row],[Augen]]&lt;=60),Games[[#This Row],[Grundwert]]="Ramsch",Games[[#This Row],[Grundwert]]="Null")</f>
        <v>1</v>
      </c>
    </row>
    <row r="117" spans="1:13" hidden="1" x14ac:dyDescent="0.25">
      <c r="A117" s="15">
        <v>43345</v>
      </c>
      <c r="B117" s="14">
        <v>1</v>
      </c>
      <c r="C117" s="25">
        <v>28</v>
      </c>
      <c r="D117" s="25" t="s">
        <v>6</v>
      </c>
      <c r="E117" s="25">
        <v>-1</v>
      </c>
      <c r="F117" s="25"/>
      <c r="G117" s="25" t="s">
        <v>5</v>
      </c>
      <c r="H117" s="25" t="s">
        <v>7</v>
      </c>
      <c r="I117">
        <v>66</v>
      </c>
      <c r="J117" s="25"/>
      <c r="M117" t="b">
        <f>OR(AND(Games[[#This Row],[Status]]="G",Games[[#This Row],[Augen]]&gt;60),AND(Games[[#This Row],[Status]]="V",Games[[#This Row],[Augen]]&lt;=60),Games[[#This Row],[Grundwert]]="Ramsch",Games[[#This Row],[Grundwert]]="Null")</f>
        <v>1</v>
      </c>
    </row>
    <row r="118" spans="1:13" hidden="1" x14ac:dyDescent="0.25">
      <c r="A118" s="15">
        <v>43345</v>
      </c>
      <c r="B118" s="14">
        <v>1</v>
      </c>
      <c r="C118" s="25">
        <v>29</v>
      </c>
      <c r="D118" s="25" t="s">
        <v>10</v>
      </c>
      <c r="E118" s="25">
        <v>3</v>
      </c>
      <c r="F118" s="25"/>
      <c r="G118" s="25" t="s">
        <v>9</v>
      </c>
      <c r="H118" s="25" t="s">
        <v>7</v>
      </c>
      <c r="I118">
        <v>72</v>
      </c>
      <c r="J118" s="25"/>
      <c r="M118" t="b">
        <f>OR(AND(Games[[#This Row],[Status]]="G",Games[[#This Row],[Augen]]&gt;60),AND(Games[[#This Row],[Status]]="V",Games[[#This Row],[Augen]]&lt;=60),Games[[#This Row],[Grundwert]]="Ramsch",Games[[#This Row],[Grundwert]]="Null")</f>
        <v>1</v>
      </c>
    </row>
    <row r="119" spans="1:13" hidden="1" x14ac:dyDescent="0.25">
      <c r="A119" s="15">
        <v>43345</v>
      </c>
      <c r="B119" s="14">
        <v>1</v>
      </c>
      <c r="C119" s="25">
        <v>30</v>
      </c>
      <c r="D119" s="25" t="s">
        <v>6</v>
      </c>
      <c r="E119" s="25">
        <v>-3</v>
      </c>
      <c r="F119" s="25" t="s">
        <v>19</v>
      </c>
      <c r="G119" s="25" t="s">
        <v>5</v>
      </c>
      <c r="H119" s="25" t="s">
        <v>7</v>
      </c>
      <c r="I119">
        <v>94</v>
      </c>
      <c r="J119" s="25"/>
      <c r="M119" t="b">
        <f>OR(AND(Games[[#This Row],[Status]]="G",Games[[#This Row],[Augen]]&gt;60),AND(Games[[#This Row],[Status]]="V",Games[[#This Row],[Augen]]&lt;=60),Games[[#This Row],[Grundwert]]="Ramsch",Games[[#This Row],[Grundwert]]="Null")</f>
        <v>1</v>
      </c>
    </row>
    <row r="120" spans="1:13" hidden="1" x14ac:dyDescent="0.25">
      <c r="A120" s="15">
        <v>43345</v>
      </c>
      <c r="B120" s="14">
        <v>1</v>
      </c>
      <c r="C120" s="25">
        <v>31</v>
      </c>
      <c r="D120" s="25" t="s">
        <v>14</v>
      </c>
      <c r="E120" s="25">
        <v>-1</v>
      </c>
      <c r="F120" s="25"/>
      <c r="G120" s="25" t="s">
        <v>5</v>
      </c>
      <c r="H120" s="25" t="s">
        <v>7</v>
      </c>
      <c r="I120">
        <v>64</v>
      </c>
      <c r="J120" s="25"/>
      <c r="M120" t="b">
        <f>OR(AND(Games[[#This Row],[Status]]="G",Games[[#This Row],[Augen]]&gt;60),AND(Games[[#This Row],[Status]]="V",Games[[#This Row],[Augen]]&lt;=60),Games[[#This Row],[Grundwert]]="Ramsch",Games[[#This Row],[Grundwert]]="Null")</f>
        <v>1</v>
      </c>
    </row>
    <row r="121" spans="1:13" hidden="1" x14ac:dyDescent="0.25">
      <c r="A121" s="15">
        <v>43345</v>
      </c>
      <c r="B121" s="14">
        <v>1</v>
      </c>
      <c r="C121" s="25">
        <v>32</v>
      </c>
      <c r="D121" s="25" t="s">
        <v>11</v>
      </c>
      <c r="E121" s="25">
        <v>-3</v>
      </c>
      <c r="F121" s="25"/>
      <c r="G121" s="25" t="s">
        <v>13</v>
      </c>
      <c r="H121" s="25" t="s">
        <v>12</v>
      </c>
      <c r="I121">
        <v>54</v>
      </c>
      <c r="J121" s="25"/>
      <c r="M121" t="b">
        <f>OR(AND(Games[[#This Row],[Status]]="G",Games[[#This Row],[Augen]]&gt;60),AND(Games[[#This Row],[Status]]="V",Games[[#This Row],[Augen]]&lt;=60),Games[[#This Row],[Grundwert]]="Ramsch",Games[[#This Row],[Grundwert]]="Null")</f>
        <v>1</v>
      </c>
    </row>
    <row r="122" spans="1:13" hidden="1" x14ac:dyDescent="0.25">
      <c r="A122" s="15">
        <v>43345</v>
      </c>
      <c r="B122" s="14">
        <v>1</v>
      </c>
      <c r="C122" s="25">
        <v>33</v>
      </c>
      <c r="D122" s="25" t="s">
        <v>10</v>
      </c>
      <c r="E122" s="25">
        <v>2</v>
      </c>
      <c r="F122" s="25" t="s">
        <v>19</v>
      </c>
      <c r="G122" s="25" t="s">
        <v>13</v>
      </c>
      <c r="H122" s="25" t="s">
        <v>7</v>
      </c>
      <c r="I122">
        <v>106</v>
      </c>
      <c r="J122" s="25"/>
      <c r="M122" t="b">
        <f>OR(AND(Games[[#This Row],[Status]]="G",Games[[#This Row],[Augen]]&gt;60),AND(Games[[#This Row],[Status]]="V",Games[[#This Row],[Augen]]&lt;=60),Games[[#This Row],[Grundwert]]="Ramsch",Games[[#This Row],[Grundwert]]="Null")</f>
        <v>1</v>
      </c>
    </row>
    <row r="123" spans="1:13" hidden="1" x14ac:dyDescent="0.25">
      <c r="A123" s="15">
        <v>43345</v>
      </c>
      <c r="B123" s="14">
        <v>1</v>
      </c>
      <c r="C123" s="25">
        <v>34</v>
      </c>
      <c r="D123" s="25" t="s">
        <v>14</v>
      </c>
      <c r="E123" s="25">
        <v>-1</v>
      </c>
      <c r="F123" s="25"/>
      <c r="G123" s="25" t="s">
        <v>5</v>
      </c>
      <c r="H123" s="25" t="s">
        <v>7</v>
      </c>
      <c r="I123">
        <v>68</v>
      </c>
      <c r="J123" s="25"/>
      <c r="M123" t="b">
        <f>OR(AND(Games[[#This Row],[Status]]="G",Games[[#This Row],[Augen]]&gt;60),AND(Games[[#This Row],[Status]]="V",Games[[#This Row],[Augen]]&lt;=60),Games[[#This Row],[Grundwert]]="Ramsch",Games[[#This Row],[Grundwert]]="Null")</f>
        <v>1</v>
      </c>
    </row>
    <row r="124" spans="1:13" hidden="1" x14ac:dyDescent="0.25">
      <c r="A124" s="15">
        <v>43345</v>
      </c>
      <c r="B124" s="14">
        <v>1</v>
      </c>
      <c r="C124" s="25">
        <v>35</v>
      </c>
      <c r="D124" s="25" t="s">
        <v>6</v>
      </c>
      <c r="E124" s="25">
        <v>1</v>
      </c>
      <c r="F124" s="25"/>
      <c r="G124" s="25" t="s">
        <v>13</v>
      </c>
      <c r="H124" s="25" t="s">
        <v>7</v>
      </c>
      <c r="I124">
        <v>72</v>
      </c>
      <c r="J124" s="25"/>
      <c r="M124" t="b">
        <f>OR(AND(Games[[#This Row],[Status]]="G",Games[[#This Row],[Augen]]&gt;60),AND(Games[[#This Row],[Status]]="V",Games[[#This Row],[Augen]]&lt;=60),Games[[#This Row],[Grundwert]]="Ramsch",Games[[#This Row],[Grundwert]]="Null")</f>
        <v>1</v>
      </c>
    </row>
    <row r="125" spans="1:13" hidden="1" x14ac:dyDescent="0.25">
      <c r="A125" s="15">
        <v>43345</v>
      </c>
      <c r="B125" s="14">
        <v>1</v>
      </c>
      <c r="C125" s="25">
        <v>36</v>
      </c>
      <c r="D125" s="25" t="s">
        <v>15</v>
      </c>
      <c r="E125" s="25"/>
      <c r="F125" s="25"/>
      <c r="G125" s="25" t="s">
        <v>13</v>
      </c>
      <c r="H125" s="25" t="s">
        <v>7</v>
      </c>
      <c r="J125" s="25"/>
      <c r="M125" t="b">
        <f>OR(AND(Games[[#This Row],[Status]]="G",Games[[#This Row],[Augen]]&gt;60),AND(Games[[#This Row],[Status]]="V",Games[[#This Row],[Augen]]&lt;=60),Games[[#This Row],[Grundwert]]="Ramsch",Games[[#This Row],[Grundwert]]="Null")</f>
        <v>1</v>
      </c>
    </row>
    <row r="126" spans="1:13" hidden="1" x14ac:dyDescent="0.25">
      <c r="A126" s="15">
        <v>43345</v>
      </c>
      <c r="B126" s="14">
        <v>2</v>
      </c>
      <c r="C126" s="25">
        <v>1</v>
      </c>
      <c r="D126" s="25" t="s">
        <v>14</v>
      </c>
      <c r="E126" s="25">
        <v>1</v>
      </c>
      <c r="F126" s="25" t="s">
        <v>19</v>
      </c>
      <c r="G126" s="25" t="s">
        <v>13</v>
      </c>
      <c r="H126" s="25" t="s">
        <v>7</v>
      </c>
      <c r="I126">
        <v>95</v>
      </c>
      <c r="J126" s="25"/>
      <c r="M126" t="b">
        <f>OR(AND(Games[[#This Row],[Status]]="G",Games[[#This Row],[Augen]]&gt;60),AND(Games[[#This Row],[Status]]="V",Games[[#This Row],[Augen]]&lt;=60),Games[[#This Row],[Grundwert]]="Ramsch",Games[[#This Row],[Grundwert]]="Null")</f>
        <v>1</v>
      </c>
    </row>
    <row r="127" spans="1:13" hidden="1" x14ac:dyDescent="0.25">
      <c r="A127" s="15">
        <v>43345</v>
      </c>
      <c r="B127" s="14">
        <v>2</v>
      </c>
      <c r="C127" s="25">
        <v>2</v>
      </c>
      <c r="D127" s="25" t="s">
        <v>10</v>
      </c>
      <c r="E127" s="25">
        <v>2</v>
      </c>
      <c r="F127" s="25" t="s">
        <v>19</v>
      </c>
      <c r="G127" s="25" t="s">
        <v>9</v>
      </c>
      <c r="H127" s="25" t="s">
        <v>7</v>
      </c>
      <c r="I127">
        <v>99</v>
      </c>
      <c r="J127" s="25"/>
      <c r="M127" t="b">
        <f>OR(AND(Games[[#This Row],[Status]]="G",Games[[#This Row],[Augen]]&gt;60),AND(Games[[#This Row],[Status]]="V",Games[[#This Row],[Augen]]&lt;=60),Games[[#This Row],[Grundwert]]="Ramsch",Games[[#This Row],[Grundwert]]="Null")</f>
        <v>1</v>
      </c>
    </row>
    <row r="128" spans="1:13" hidden="1" x14ac:dyDescent="0.25">
      <c r="A128" s="15">
        <v>43345</v>
      </c>
      <c r="B128" s="14">
        <v>2</v>
      </c>
      <c r="C128" s="25">
        <v>3</v>
      </c>
      <c r="D128" s="25" t="s">
        <v>11</v>
      </c>
      <c r="E128" s="25">
        <v>1</v>
      </c>
      <c r="F128" s="25"/>
      <c r="G128" s="25" t="s">
        <v>5</v>
      </c>
      <c r="H128" s="25" t="s">
        <v>7</v>
      </c>
      <c r="I128">
        <v>86</v>
      </c>
      <c r="J128" s="25"/>
      <c r="M128" t="b">
        <f>OR(AND(Games[[#This Row],[Status]]="G",Games[[#This Row],[Augen]]&gt;60),AND(Games[[#This Row],[Status]]="V",Games[[#This Row],[Augen]]&lt;=60),Games[[#This Row],[Grundwert]]="Ramsch",Games[[#This Row],[Grundwert]]="Null")</f>
        <v>1</v>
      </c>
    </row>
    <row r="129" spans="1:13" hidden="1" x14ac:dyDescent="0.25">
      <c r="A129" s="15">
        <v>43345</v>
      </c>
      <c r="B129" s="14">
        <v>2</v>
      </c>
      <c r="C129" s="25">
        <v>4</v>
      </c>
      <c r="D129" s="25" t="s">
        <v>16</v>
      </c>
      <c r="E129" s="25">
        <v>2</v>
      </c>
      <c r="F129" s="25" t="s">
        <v>54</v>
      </c>
      <c r="G129" s="25" t="s">
        <v>9</v>
      </c>
      <c r="H129" s="25" t="s">
        <v>7</v>
      </c>
      <c r="I129">
        <v>120</v>
      </c>
      <c r="J129" s="25"/>
      <c r="M129" t="b">
        <f>OR(AND(Games[[#This Row],[Status]]="G",Games[[#This Row],[Augen]]&gt;60),AND(Games[[#This Row],[Status]]="V",Games[[#This Row],[Augen]]&lt;=60),Games[[#This Row],[Grundwert]]="Ramsch",Games[[#This Row],[Grundwert]]="Null")</f>
        <v>1</v>
      </c>
    </row>
    <row r="130" spans="1:13" hidden="1" x14ac:dyDescent="0.25">
      <c r="A130" s="15">
        <v>43345</v>
      </c>
      <c r="B130" s="14">
        <v>2</v>
      </c>
      <c r="C130" s="25">
        <v>5</v>
      </c>
      <c r="D130" s="25" t="s">
        <v>17</v>
      </c>
      <c r="E130" s="25"/>
      <c r="F130" s="25"/>
      <c r="G130" s="25" t="s">
        <v>5</v>
      </c>
      <c r="H130" s="25" t="s">
        <v>12</v>
      </c>
      <c r="I130">
        <v>61</v>
      </c>
      <c r="J130" s="25"/>
      <c r="M130" t="b">
        <f>OR(AND(Games[[#This Row],[Status]]="G",Games[[#This Row],[Augen]]&gt;60),AND(Games[[#This Row],[Status]]="V",Games[[#This Row],[Augen]]&lt;=60),Games[[#This Row],[Grundwert]]="Ramsch",Games[[#This Row],[Grundwert]]="Null")</f>
        <v>1</v>
      </c>
    </row>
    <row r="131" spans="1:13" hidden="1" x14ac:dyDescent="0.25">
      <c r="A131" s="15">
        <v>43345</v>
      </c>
      <c r="B131" s="14">
        <v>2</v>
      </c>
      <c r="C131" s="25">
        <v>6</v>
      </c>
      <c r="D131" s="25" t="s">
        <v>17</v>
      </c>
      <c r="E131" s="25"/>
      <c r="F131" s="25"/>
      <c r="G131" s="25" t="s">
        <v>9</v>
      </c>
      <c r="H131" s="25" t="s">
        <v>12</v>
      </c>
      <c r="I131">
        <v>86</v>
      </c>
      <c r="J131" s="25"/>
      <c r="M131" t="b">
        <f>OR(AND(Games[[#This Row],[Status]]="G",Games[[#This Row],[Augen]]&gt;60),AND(Games[[#This Row],[Status]]="V",Games[[#This Row],[Augen]]&lt;=60),Games[[#This Row],[Grundwert]]="Ramsch",Games[[#This Row],[Grundwert]]="Null")</f>
        <v>1</v>
      </c>
    </row>
    <row r="132" spans="1:13" hidden="1" x14ac:dyDescent="0.25">
      <c r="A132" s="15">
        <v>43345</v>
      </c>
      <c r="B132" s="14">
        <v>2</v>
      </c>
      <c r="C132" s="25">
        <v>7</v>
      </c>
      <c r="D132" s="25" t="s">
        <v>10</v>
      </c>
      <c r="E132" s="25">
        <v>1</v>
      </c>
      <c r="F132" s="25"/>
      <c r="G132" s="25" t="s">
        <v>5</v>
      </c>
      <c r="H132" s="25" t="s">
        <v>7</v>
      </c>
      <c r="I132">
        <v>81</v>
      </c>
      <c r="J132" s="25"/>
      <c r="M132" t="b">
        <f>OR(AND(Games[[#This Row],[Status]]="G",Games[[#This Row],[Augen]]&gt;60),AND(Games[[#This Row],[Status]]="V",Games[[#This Row],[Augen]]&lt;=60),Games[[#This Row],[Grundwert]]="Ramsch",Games[[#This Row],[Grundwert]]="Null")</f>
        <v>1</v>
      </c>
    </row>
    <row r="133" spans="1:13" hidden="1" x14ac:dyDescent="0.25">
      <c r="A133" s="15">
        <v>43345</v>
      </c>
      <c r="B133" s="14">
        <v>2</v>
      </c>
      <c r="C133" s="25">
        <v>8</v>
      </c>
      <c r="D133" s="25" t="s">
        <v>10</v>
      </c>
      <c r="E133" s="25">
        <v>2</v>
      </c>
      <c r="F133" s="25"/>
      <c r="G133" s="25" t="s">
        <v>5</v>
      </c>
      <c r="H133" s="25" t="s">
        <v>7</v>
      </c>
      <c r="I133">
        <v>77</v>
      </c>
      <c r="J133" s="25"/>
      <c r="M133" t="b">
        <f>OR(AND(Games[[#This Row],[Status]]="G",Games[[#This Row],[Augen]]&gt;60),AND(Games[[#This Row],[Status]]="V",Games[[#This Row],[Augen]]&lt;=60),Games[[#This Row],[Grundwert]]="Ramsch",Games[[#This Row],[Grundwert]]="Null")</f>
        <v>1</v>
      </c>
    </row>
    <row r="134" spans="1:13" hidden="1" x14ac:dyDescent="0.25">
      <c r="A134" s="15">
        <v>43345</v>
      </c>
      <c r="B134" s="14">
        <v>2</v>
      </c>
      <c r="C134" s="25">
        <v>9</v>
      </c>
      <c r="D134" s="25" t="s">
        <v>15</v>
      </c>
      <c r="E134" s="25"/>
      <c r="F134" s="25"/>
      <c r="G134" s="25" t="s">
        <v>13</v>
      </c>
      <c r="H134" s="25" t="s">
        <v>7</v>
      </c>
      <c r="J134" s="25"/>
      <c r="M134" t="b">
        <f>OR(AND(Games[[#This Row],[Status]]="G",Games[[#This Row],[Augen]]&gt;60),AND(Games[[#This Row],[Status]]="V",Games[[#This Row],[Augen]]&lt;=60),Games[[#This Row],[Grundwert]]="Ramsch",Games[[#This Row],[Grundwert]]="Null")</f>
        <v>1</v>
      </c>
    </row>
    <row r="135" spans="1:13" hidden="1" x14ac:dyDescent="0.25">
      <c r="A135" s="15">
        <v>43345</v>
      </c>
      <c r="B135" s="14">
        <v>2</v>
      </c>
      <c r="C135" s="25">
        <v>10</v>
      </c>
      <c r="D135" s="25" t="s">
        <v>10</v>
      </c>
      <c r="E135" s="25">
        <v>1</v>
      </c>
      <c r="F135" s="25"/>
      <c r="G135" s="25" t="s">
        <v>5</v>
      </c>
      <c r="H135" s="25" t="s">
        <v>7</v>
      </c>
      <c r="I135">
        <v>79</v>
      </c>
      <c r="J135" s="25"/>
      <c r="M135" t="b">
        <f>OR(AND(Games[[#This Row],[Status]]="G",Games[[#This Row],[Augen]]&gt;60),AND(Games[[#This Row],[Status]]="V",Games[[#This Row],[Augen]]&lt;=60),Games[[#This Row],[Grundwert]]="Ramsch",Games[[#This Row],[Grundwert]]="Null")</f>
        <v>1</v>
      </c>
    </row>
    <row r="136" spans="1:13" hidden="1" x14ac:dyDescent="0.25">
      <c r="A136" s="15">
        <v>43345</v>
      </c>
      <c r="B136" s="14">
        <v>2</v>
      </c>
      <c r="C136" s="25">
        <v>11</v>
      </c>
      <c r="D136" s="25" t="s">
        <v>14</v>
      </c>
      <c r="E136" s="25">
        <v>4</v>
      </c>
      <c r="F136" s="25" t="s">
        <v>19</v>
      </c>
      <c r="G136" s="25" t="s">
        <v>13</v>
      </c>
      <c r="H136" s="25" t="s">
        <v>7</v>
      </c>
      <c r="I136">
        <v>92</v>
      </c>
      <c r="J136" s="25"/>
      <c r="M136" t="b">
        <f>OR(AND(Games[[#This Row],[Status]]="G",Games[[#This Row],[Augen]]&gt;60),AND(Games[[#This Row],[Status]]="V",Games[[#This Row],[Augen]]&lt;=60),Games[[#This Row],[Grundwert]]="Ramsch",Games[[#This Row],[Grundwert]]="Null")</f>
        <v>1</v>
      </c>
    </row>
    <row r="137" spans="1:13" hidden="1" x14ac:dyDescent="0.25">
      <c r="A137" s="15">
        <v>43345</v>
      </c>
      <c r="B137" s="14">
        <v>2</v>
      </c>
      <c r="C137" s="25">
        <v>12</v>
      </c>
      <c r="D137" s="25" t="s">
        <v>16</v>
      </c>
      <c r="E137" s="25">
        <v>1</v>
      </c>
      <c r="F137" s="25"/>
      <c r="G137" s="25" t="s">
        <v>13</v>
      </c>
      <c r="H137" s="25" t="s">
        <v>7</v>
      </c>
      <c r="I137">
        <v>76</v>
      </c>
      <c r="J137" s="25"/>
      <c r="M137" t="b">
        <f>OR(AND(Games[[#This Row],[Status]]="G",Games[[#This Row],[Augen]]&gt;60),AND(Games[[#This Row],[Status]]="V",Games[[#This Row],[Augen]]&lt;=60),Games[[#This Row],[Grundwert]]="Ramsch",Games[[#This Row],[Grundwert]]="Null")</f>
        <v>1</v>
      </c>
    </row>
    <row r="138" spans="1:13" hidden="1" x14ac:dyDescent="0.25">
      <c r="A138" s="15">
        <v>43345</v>
      </c>
      <c r="B138" s="14">
        <v>2</v>
      </c>
      <c r="C138" s="25">
        <v>13</v>
      </c>
      <c r="D138" s="25" t="s">
        <v>10</v>
      </c>
      <c r="E138" s="25">
        <v>3</v>
      </c>
      <c r="F138" s="25" t="s">
        <v>54</v>
      </c>
      <c r="G138" s="25" t="s">
        <v>5</v>
      </c>
      <c r="H138" s="25" t="s">
        <v>7</v>
      </c>
      <c r="I138">
        <v>120</v>
      </c>
      <c r="J138" s="25"/>
      <c r="M138" t="b">
        <f>OR(AND(Games[[#This Row],[Status]]="G",Games[[#This Row],[Augen]]&gt;60),AND(Games[[#This Row],[Status]]="V",Games[[#This Row],[Augen]]&lt;=60),Games[[#This Row],[Grundwert]]="Ramsch",Games[[#This Row],[Grundwert]]="Null")</f>
        <v>1</v>
      </c>
    </row>
    <row r="139" spans="1:13" hidden="1" x14ac:dyDescent="0.25">
      <c r="A139" s="15">
        <v>43345</v>
      </c>
      <c r="B139" s="14">
        <v>2</v>
      </c>
      <c r="C139" s="25">
        <v>14</v>
      </c>
      <c r="D139" s="25" t="s">
        <v>14</v>
      </c>
      <c r="E139" s="25">
        <v>-2</v>
      </c>
      <c r="F139" s="25"/>
      <c r="G139" s="25" t="s">
        <v>9</v>
      </c>
      <c r="H139" s="25" t="s">
        <v>7</v>
      </c>
      <c r="I139">
        <v>66</v>
      </c>
      <c r="J139" s="25"/>
      <c r="M139" t="b">
        <f>OR(AND(Games[[#This Row],[Status]]="G",Games[[#This Row],[Augen]]&gt;60),AND(Games[[#This Row],[Status]]="V",Games[[#This Row],[Augen]]&lt;=60),Games[[#This Row],[Grundwert]]="Ramsch",Games[[#This Row],[Grundwert]]="Null")</f>
        <v>1</v>
      </c>
    </row>
    <row r="140" spans="1:13" hidden="1" x14ac:dyDescent="0.25">
      <c r="A140" s="15">
        <v>43345</v>
      </c>
      <c r="B140" s="14">
        <v>2</v>
      </c>
      <c r="C140" s="25">
        <v>15</v>
      </c>
      <c r="D140" s="25" t="s">
        <v>14</v>
      </c>
      <c r="E140" s="25">
        <v>4</v>
      </c>
      <c r="F140" s="25"/>
      <c r="G140" s="25" t="s">
        <v>13</v>
      </c>
      <c r="H140" s="25" t="s">
        <v>7</v>
      </c>
      <c r="I140">
        <v>85</v>
      </c>
      <c r="J140" s="25"/>
      <c r="M140" t="b">
        <f>OR(AND(Games[[#This Row],[Status]]="G",Games[[#This Row],[Augen]]&gt;60),AND(Games[[#This Row],[Status]]="V",Games[[#This Row],[Augen]]&lt;=60),Games[[#This Row],[Grundwert]]="Ramsch",Games[[#This Row],[Grundwert]]="Null")</f>
        <v>1</v>
      </c>
    </row>
    <row r="141" spans="1:13" hidden="1" x14ac:dyDescent="0.25">
      <c r="A141" s="15">
        <v>43345</v>
      </c>
      <c r="B141" s="14">
        <v>2</v>
      </c>
      <c r="C141" s="25">
        <v>16</v>
      </c>
      <c r="D141" s="25" t="s">
        <v>11</v>
      </c>
      <c r="E141" s="25">
        <v>1</v>
      </c>
      <c r="F141" s="25"/>
      <c r="G141" s="25" t="s">
        <v>13</v>
      </c>
      <c r="H141" s="25" t="s">
        <v>7</v>
      </c>
      <c r="I141">
        <v>76</v>
      </c>
      <c r="J141" s="25"/>
      <c r="M141" t="b">
        <f>OR(AND(Games[[#This Row],[Status]]="G",Games[[#This Row],[Augen]]&gt;60),AND(Games[[#This Row],[Status]]="V",Games[[#This Row],[Augen]]&lt;=60),Games[[#This Row],[Grundwert]]="Ramsch",Games[[#This Row],[Grundwert]]="Null")</f>
        <v>1</v>
      </c>
    </row>
    <row r="142" spans="1:13" hidden="1" x14ac:dyDescent="0.25">
      <c r="A142" s="15">
        <v>43345</v>
      </c>
      <c r="B142" s="14">
        <v>2</v>
      </c>
      <c r="C142" s="25">
        <v>17</v>
      </c>
      <c r="D142" s="25" t="s">
        <v>11</v>
      </c>
      <c r="E142" s="25">
        <v>-1</v>
      </c>
      <c r="F142" s="25"/>
      <c r="G142" s="25" t="s">
        <v>5</v>
      </c>
      <c r="H142" s="25" t="s">
        <v>12</v>
      </c>
      <c r="I142">
        <v>54</v>
      </c>
      <c r="J142" s="25"/>
      <c r="M142" t="b">
        <f>OR(AND(Games[[#This Row],[Status]]="G",Games[[#This Row],[Augen]]&gt;60),AND(Games[[#This Row],[Status]]="V",Games[[#This Row],[Augen]]&lt;=60),Games[[#This Row],[Grundwert]]="Ramsch",Games[[#This Row],[Grundwert]]="Null")</f>
        <v>1</v>
      </c>
    </row>
    <row r="143" spans="1:13" hidden="1" x14ac:dyDescent="0.25">
      <c r="A143" s="15">
        <v>43345</v>
      </c>
      <c r="B143" s="14">
        <v>2</v>
      </c>
      <c r="C143" s="25">
        <v>18</v>
      </c>
      <c r="D143" s="25" t="s">
        <v>16</v>
      </c>
      <c r="E143" s="25">
        <v>1</v>
      </c>
      <c r="F143" s="25"/>
      <c r="G143" s="25" t="s">
        <v>9</v>
      </c>
      <c r="H143" s="25" t="s">
        <v>7</v>
      </c>
      <c r="I143">
        <v>87</v>
      </c>
      <c r="J143" s="25"/>
      <c r="M143" t="b">
        <f>OR(AND(Games[[#This Row],[Status]]="G",Games[[#This Row],[Augen]]&gt;60),AND(Games[[#This Row],[Status]]="V",Games[[#This Row],[Augen]]&lt;=60),Games[[#This Row],[Grundwert]]="Ramsch",Games[[#This Row],[Grundwert]]="Null")</f>
        <v>1</v>
      </c>
    </row>
    <row r="144" spans="1:13" hidden="1" x14ac:dyDescent="0.25">
      <c r="A144" s="15">
        <v>43345</v>
      </c>
      <c r="B144" s="14">
        <v>3</v>
      </c>
      <c r="C144" s="25">
        <v>1</v>
      </c>
      <c r="D144" s="25" t="s">
        <v>14</v>
      </c>
      <c r="E144" s="25">
        <v>-3</v>
      </c>
      <c r="F144" s="25"/>
      <c r="G144" s="25" t="s">
        <v>13</v>
      </c>
      <c r="H144" s="25" t="s">
        <v>7</v>
      </c>
      <c r="I144">
        <v>78</v>
      </c>
      <c r="J144" s="25"/>
      <c r="M144" t="b">
        <f>OR(AND(Games[[#This Row],[Status]]="G",Games[[#This Row],[Augen]]&gt;60),AND(Games[[#This Row],[Status]]="V",Games[[#This Row],[Augen]]&lt;=60),Games[[#This Row],[Grundwert]]="Ramsch",Games[[#This Row],[Grundwert]]="Null")</f>
        <v>1</v>
      </c>
    </row>
    <row r="145" spans="1:13" hidden="1" x14ac:dyDescent="0.25">
      <c r="A145" s="15">
        <v>43345</v>
      </c>
      <c r="B145" s="14">
        <v>3</v>
      </c>
      <c r="C145" s="25">
        <v>2</v>
      </c>
      <c r="D145" s="25" t="s">
        <v>15</v>
      </c>
      <c r="E145" s="25"/>
      <c r="F145" s="25" t="s">
        <v>30</v>
      </c>
      <c r="G145" s="25" t="s">
        <v>5</v>
      </c>
      <c r="H145" s="25" t="s">
        <v>7</v>
      </c>
      <c r="J145" s="25"/>
      <c r="M145" t="b">
        <f>OR(AND(Games[[#This Row],[Status]]="G",Games[[#This Row],[Augen]]&gt;60),AND(Games[[#This Row],[Status]]="V",Games[[#This Row],[Augen]]&lt;=60),Games[[#This Row],[Grundwert]]="Ramsch",Games[[#This Row],[Grundwert]]="Null")</f>
        <v>1</v>
      </c>
    </row>
    <row r="146" spans="1:13" hidden="1" x14ac:dyDescent="0.25">
      <c r="A146" s="15">
        <v>43345</v>
      </c>
      <c r="B146" s="14">
        <v>3</v>
      </c>
      <c r="C146" s="25">
        <v>3</v>
      </c>
      <c r="D146" s="25" t="s">
        <v>6</v>
      </c>
      <c r="E146" s="25">
        <v>1</v>
      </c>
      <c r="F146" s="25" t="s">
        <v>19</v>
      </c>
      <c r="G146" s="25" t="s">
        <v>9</v>
      </c>
      <c r="H146" s="25" t="s">
        <v>7</v>
      </c>
      <c r="I146">
        <v>91</v>
      </c>
      <c r="J146" s="25"/>
      <c r="M146" t="b">
        <f>OR(AND(Games[[#This Row],[Status]]="G",Games[[#This Row],[Augen]]&gt;60),AND(Games[[#This Row],[Status]]="V",Games[[#This Row],[Augen]]&lt;=60),Games[[#This Row],[Grundwert]]="Ramsch",Games[[#This Row],[Grundwert]]="Null")</f>
        <v>1</v>
      </c>
    </row>
    <row r="147" spans="1:13" hidden="1" x14ac:dyDescent="0.25">
      <c r="A147" s="15">
        <v>43345</v>
      </c>
      <c r="B147" s="14">
        <v>3</v>
      </c>
      <c r="C147" s="25">
        <v>4</v>
      </c>
      <c r="D147" s="25" t="s">
        <v>17</v>
      </c>
      <c r="E147" s="25"/>
      <c r="F147" s="25"/>
      <c r="G147" s="25" t="s">
        <v>13</v>
      </c>
      <c r="H147" s="25" t="s">
        <v>12</v>
      </c>
      <c r="I147">
        <v>80</v>
      </c>
      <c r="J147" s="25"/>
      <c r="M147" t="b">
        <f>OR(AND(Games[[#This Row],[Status]]="G",Games[[#This Row],[Augen]]&gt;60),AND(Games[[#This Row],[Status]]="V",Games[[#This Row],[Augen]]&lt;=60),Games[[#This Row],[Grundwert]]="Ramsch",Games[[#This Row],[Grundwert]]="Null")</f>
        <v>1</v>
      </c>
    </row>
    <row r="148" spans="1:13" hidden="1" x14ac:dyDescent="0.25">
      <c r="A148" s="15">
        <v>43345</v>
      </c>
      <c r="B148" s="14">
        <v>3</v>
      </c>
      <c r="C148" s="25">
        <v>5</v>
      </c>
      <c r="D148" s="25" t="s">
        <v>16</v>
      </c>
      <c r="E148" s="25">
        <v>-2</v>
      </c>
      <c r="F148" s="25"/>
      <c r="G148" s="25" t="s">
        <v>5</v>
      </c>
      <c r="H148" s="25" t="s">
        <v>12</v>
      </c>
      <c r="I148">
        <v>59</v>
      </c>
      <c r="J148" s="25"/>
      <c r="M148" t="b">
        <f>OR(AND(Games[[#This Row],[Status]]="G",Games[[#This Row],[Augen]]&gt;60),AND(Games[[#This Row],[Status]]="V",Games[[#This Row],[Augen]]&lt;=60),Games[[#This Row],[Grundwert]]="Ramsch",Games[[#This Row],[Grundwert]]="Null")</f>
        <v>1</v>
      </c>
    </row>
    <row r="149" spans="1:13" hidden="1" x14ac:dyDescent="0.25">
      <c r="A149" s="15">
        <v>43345</v>
      </c>
      <c r="B149" s="14">
        <v>3</v>
      </c>
      <c r="C149" s="25">
        <v>6</v>
      </c>
      <c r="D149" s="25" t="s">
        <v>10</v>
      </c>
      <c r="E149" s="25">
        <v>4</v>
      </c>
      <c r="F149" s="25" t="s">
        <v>22</v>
      </c>
      <c r="G149" s="25" t="s">
        <v>13</v>
      </c>
      <c r="H149" s="25" t="s">
        <v>7</v>
      </c>
      <c r="I149">
        <v>84</v>
      </c>
      <c r="J149" s="25"/>
      <c r="M149" t="b">
        <f>OR(AND(Games[[#This Row],[Status]]="G",Games[[#This Row],[Augen]]&gt;60),AND(Games[[#This Row],[Status]]="V",Games[[#This Row],[Augen]]&lt;=60),Games[[#This Row],[Grundwert]]="Ramsch",Games[[#This Row],[Grundwert]]="Null")</f>
        <v>1</v>
      </c>
    </row>
    <row r="150" spans="1:13" hidden="1" x14ac:dyDescent="0.25">
      <c r="A150" s="15">
        <v>43345</v>
      </c>
      <c r="B150" s="14">
        <v>3</v>
      </c>
      <c r="C150" s="25">
        <v>7</v>
      </c>
      <c r="D150" s="25" t="s">
        <v>10</v>
      </c>
      <c r="E150" s="25">
        <v>1</v>
      </c>
      <c r="F150" s="25"/>
      <c r="G150" s="25" t="s">
        <v>5</v>
      </c>
      <c r="H150" s="25" t="s">
        <v>7</v>
      </c>
      <c r="I150">
        <v>70</v>
      </c>
      <c r="J150" s="25"/>
      <c r="M150" t="b">
        <f>OR(AND(Games[[#This Row],[Status]]="G",Games[[#This Row],[Augen]]&gt;60),AND(Games[[#This Row],[Status]]="V",Games[[#This Row],[Augen]]&lt;=60),Games[[#This Row],[Grundwert]]="Ramsch",Games[[#This Row],[Grundwert]]="Null")</f>
        <v>1</v>
      </c>
    </row>
    <row r="151" spans="1:13" hidden="1" x14ac:dyDescent="0.25">
      <c r="A151" s="15">
        <v>43345</v>
      </c>
      <c r="B151" s="14">
        <v>3</v>
      </c>
      <c r="C151" s="25">
        <v>8</v>
      </c>
      <c r="D151" s="25" t="s">
        <v>11</v>
      </c>
      <c r="E151" s="25">
        <v>1</v>
      </c>
      <c r="F151" s="25" t="s">
        <v>19</v>
      </c>
      <c r="G151" s="25" t="s">
        <v>13</v>
      </c>
      <c r="H151" s="25" t="s">
        <v>7</v>
      </c>
      <c r="I151">
        <v>102</v>
      </c>
      <c r="J151" s="25"/>
      <c r="M151" t="b">
        <f>OR(AND(Games[[#This Row],[Status]]="G",Games[[#This Row],[Augen]]&gt;60),AND(Games[[#This Row],[Status]]="V",Games[[#This Row],[Augen]]&lt;=60),Games[[#This Row],[Grundwert]]="Ramsch",Games[[#This Row],[Grundwert]]="Null")</f>
        <v>1</v>
      </c>
    </row>
    <row r="152" spans="1:13" hidden="1" x14ac:dyDescent="0.25">
      <c r="A152" s="15">
        <v>43345</v>
      </c>
      <c r="B152" s="14">
        <v>3</v>
      </c>
      <c r="C152" s="25">
        <v>9</v>
      </c>
      <c r="D152" s="25" t="s">
        <v>11</v>
      </c>
      <c r="E152" s="25">
        <v>-1</v>
      </c>
      <c r="F152" s="25"/>
      <c r="G152" s="25" t="s">
        <v>5</v>
      </c>
      <c r="H152" s="25" t="s">
        <v>7</v>
      </c>
      <c r="I152">
        <v>77</v>
      </c>
      <c r="J152" s="25"/>
      <c r="M152" t="b">
        <f>OR(AND(Games[[#This Row],[Status]]="G",Games[[#This Row],[Augen]]&gt;60),AND(Games[[#This Row],[Status]]="V",Games[[#This Row],[Augen]]&lt;=60),Games[[#This Row],[Grundwert]]="Ramsch",Games[[#This Row],[Grundwert]]="Null")</f>
        <v>1</v>
      </c>
    </row>
    <row r="153" spans="1:13" hidden="1" x14ac:dyDescent="0.25">
      <c r="A153" s="15">
        <v>43345</v>
      </c>
      <c r="B153" s="14">
        <v>3</v>
      </c>
      <c r="C153" s="25">
        <v>10</v>
      </c>
      <c r="D153" s="25" t="s">
        <v>16</v>
      </c>
      <c r="E153" s="25">
        <v>-1</v>
      </c>
      <c r="F153" s="25"/>
      <c r="G153" s="25" t="s">
        <v>9</v>
      </c>
      <c r="H153" s="25" t="s">
        <v>12</v>
      </c>
      <c r="I153">
        <v>50</v>
      </c>
      <c r="J153" s="25"/>
      <c r="M153" t="b">
        <f>OR(AND(Games[[#This Row],[Status]]="G",Games[[#This Row],[Augen]]&gt;60),AND(Games[[#This Row],[Status]]="V",Games[[#This Row],[Augen]]&lt;=60),Games[[#This Row],[Grundwert]]="Ramsch",Games[[#This Row],[Grundwert]]="Null")</f>
        <v>1</v>
      </c>
    </row>
    <row r="154" spans="1:13" hidden="1" x14ac:dyDescent="0.25">
      <c r="A154" s="15">
        <v>43345</v>
      </c>
      <c r="B154" s="14">
        <v>3</v>
      </c>
      <c r="C154" s="25">
        <v>11</v>
      </c>
      <c r="D154" s="25" t="s">
        <v>16</v>
      </c>
      <c r="E154" s="25">
        <v>1</v>
      </c>
      <c r="F154" s="25"/>
      <c r="G154" s="25" t="s">
        <v>9</v>
      </c>
      <c r="H154" s="25" t="s">
        <v>7</v>
      </c>
      <c r="I154">
        <v>61</v>
      </c>
      <c r="J154" s="25"/>
      <c r="M154" t="b">
        <f>OR(AND(Games[[#This Row],[Status]]="G",Games[[#This Row],[Augen]]&gt;60),AND(Games[[#This Row],[Status]]="V",Games[[#This Row],[Augen]]&lt;=60),Games[[#This Row],[Grundwert]]="Ramsch",Games[[#This Row],[Grundwert]]="Null")</f>
        <v>1</v>
      </c>
    </row>
    <row r="155" spans="1:13" hidden="1" x14ac:dyDescent="0.25">
      <c r="A155" s="15">
        <v>43345</v>
      </c>
      <c r="B155" s="14">
        <v>3</v>
      </c>
      <c r="C155" s="25">
        <v>12</v>
      </c>
      <c r="D155" s="25" t="s">
        <v>14</v>
      </c>
      <c r="E155" s="25">
        <v>2</v>
      </c>
      <c r="F155" s="25"/>
      <c r="G155" s="25" t="s">
        <v>5</v>
      </c>
      <c r="H155" s="25" t="s">
        <v>12</v>
      </c>
      <c r="I155">
        <v>59</v>
      </c>
      <c r="J155" s="25"/>
      <c r="M155" t="b">
        <f>OR(AND(Games[[#This Row],[Status]]="G",Games[[#This Row],[Augen]]&gt;60),AND(Games[[#This Row],[Status]]="V",Games[[#This Row],[Augen]]&lt;=60),Games[[#This Row],[Grundwert]]="Ramsch",Games[[#This Row],[Grundwert]]="Null")</f>
        <v>1</v>
      </c>
    </row>
    <row r="156" spans="1:13" hidden="1" x14ac:dyDescent="0.25">
      <c r="A156" s="15">
        <v>43345</v>
      </c>
      <c r="B156" s="14">
        <v>3</v>
      </c>
      <c r="C156" s="25">
        <v>13</v>
      </c>
      <c r="D156" s="25" t="s">
        <v>14</v>
      </c>
      <c r="E156" s="25">
        <v>1</v>
      </c>
      <c r="F156" s="25"/>
      <c r="G156" s="25" t="s">
        <v>13</v>
      </c>
      <c r="H156" s="25" t="s">
        <v>12</v>
      </c>
      <c r="I156">
        <v>59</v>
      </c>
      <c r="J156" s="25"/>
      <c r="M156" t="b">
        <f>OR(AND(Games[[#This Row],[Status]]="G",Games[[#This Row],[Augen]]&gt;60),AND(Games[[#This Row],[Status]]="V",Games[[#This Row],[Augen]]&lt;=60),Games[[#This Row],[Grundwert]]="Ramsch",Games[[#This Row],[Grundwert]]="Null")</f>
        <v>1</v>
      </c>
    </row>
    <row r="157" spans="1:13" hidden="1" x14ac:dyDescent="0.25">
      <c r="A157" s="15">
        <v>43345</v>
      </c>
      <c r="B157" s="14">
        <v>3</v>
      </c>
      <c r="C157" s="25">
        <v>14</v>
      </c>
      <c r="D157" s="25" t="s">
        <v>14</v>
      </c>
      <c r="E157" s="25">
        <v>-3</v>
      </c>
      <c r="F157" s="25" t="s">
        <v>22</v>
      </c>
      <c r="G157" s="25" t="s">
        <v>9</v>
      </c>
      <c r="H157" s="25" t="s">
        <v>7</v>
      </c>
      <c r="I157">
        <v>73</v>
      </c>
      <c r="J157" s="25"/>
      <c r="M157" t="b">
        <f>OR(AND(Games[[#This Row],[Status]]="G",Games[[#This Row],[Augen]]&gt;60),AND(Games[[#This Row],[Status]]="V",Games[[#This Row],[Augen]]&lt;=60),Games[[#This Row],[Grundwert]]="Ramsch",Games[[#This Row],[Grundwert]]="Null")</f>
        <v>1</v>
      </c>
    </row>
    <row r="158" spans="1:13" hidden="1" x14ac:dyDescent="0.25">
      <c r="A158" s="15">
        <v>43345</v>
      </c>
      <c r="B158" s="14">
        <v>3</v>
      </c>
      <c r="C158" s="25">
        <v>15</v>
      </c>
      <c r="D158" s="25" t="s">
        <v>6</v>
      </c>
      <c r="E158" s="25">
        <v>1</v>
      </c>
      <c r="F158" s="25" t="s">
        <v>19</v>
      </c>
      <c r="G158" s="25" t="s">
        <v>5</v>
      </c>
      <c r="H158" s="25" t="s">
        <v>7</v>
      </c>
      <c r="I158">
        <v>93</v>
      </c>
      <c r="J158" s="25"/>
      <c r="M158" t="b">
        <f>OR(AND(Games[[#This Row],[Status]]="G",Games[[#This Row],[Augen]]&gt;60),AND(Games[[#This Row],[Status]]="V",Games[[#This Row],[Augen]]&lt;=60),Games[[#This Row],[Grundwert]]="Ramsch",Games[[#This Row],[Grundwert]]="Null")</f>
        <v>1</v>
      </c>
    </row>
    <row r="159" spans="1:13" hidden="1" x14ac:dyDescent="0.25">
      <c r="A159" s="15">
        <v>43345</v>
      </c>
      <c r="B159" s="14">
        <v>3</v>
      </c>
      <c r="C159" s="25">
        <v>16</v>
      </c>
      <c r="D159" s="25" t="s">
        <v>14</v>
      </c>
      <c r="E159" s="25">
        <v>1</v>
      </c>
      <c r="F159" s="25"/>
      <c r="G159" s="25" t="s">
        <v>5</v>
      </c>
      <c r="H159" s="25" t="s">
        <v>7</v>
      </c>
      <c r="I159">
        <v>70</v>
      </c>
      <c r="J159" s="25"/>
      <c r="M159" t="b">
        <f>OR(AND(Games[[#This Row],[Status]]="G",Games[[#This Row],[Augen]]&gt;60),AND(Games[[#This Row],[Status]]="V",Games[[#This Row],[Augen]]&lt;=60),Games[[#This Row],[Grundwert]]="Ramsch",Games[[#This Row],[Grundwert]]="Null")</f>
        <v>1</v>
      </c>
    </row>
    <row r="160" spans="1:13" hidden="1" x14ac:dyDescent="0.25">
      <c r="A160" s="15">
        <v>43345</v>
      </c>
      <c r="B160" s="14">
        <v>3</v>
      </c>
      <c r="C160" s="25">
        <v>17</v>
      </c>
      <c r="D160" s="25" t="s">
        <v>6</v>
      </c>
      <c r="E160" s="25">
        <v>-1</v>
      </c>
      <c r="F160" s="25" t="s">
        <v>19</v>
      </c>
      <c r="G160" s="25" t="s">
        <v>5</v>
      </c>
      <c r="H160" s="25" t="s">
        <v>7</v>
      </c>
      <c r="I160">
        <v>100</v>
      </c>
      <c r="J160" s="25"/>
      <c r="M160" t="b">
        <f>OR(AND(Games[[#This Row],[Status]]="G",Games[[#This Row],[Augen]]&gt;60),AND(Games[[#This Row],[Status]]="V",Games[[#This Row],[Augen]]&lt;=60),Games[[#This Row],[Grundwert]]="Ramsch",Games[[#This Row],[Grundwert]]="Null")</f>
        <v>1</v>
      </c>
    </row>
    <row r="161" spans="1:13" hidden="1" x14ac:dyDescent="0.25">
      <c r="A161" s="15">
        <v>43345</v>
      </c>
      <c r="B161" s="14">
        <v>3</v>
      </c>
      <c r="C161" s="25">
        <v>18</v>
      </c>
      <c r="D161" s="25" t="s">
        <v>11</v>
      </c>
      <c r="E161" s="25">
        <v>-1</v>
      </c>
      <c r="F161" s="25"/>
      <c r="G161" s="25" t="s">
        <v>5</v>
      </c>
      <c r="H161" s="25" t="s">
        <v>12</v>
      </c>
      <c r="I161">
        <v>59</v>
      </c>
      <c r="J161" s="25"/>
      <c r="M161" t="b">
        <f>OR(AND(Games[[#This Row],[Status]]="G",Games[[#This Row],[Augen]]&gt;60),AND(Games[[#This Row],[Status]]="V",Games[[#This Row],[Augen]]&lt;=60),Games[[#This Row],[Grundwert]]="Ramsch",Games[[#This Row],[Grundwert]]="Null")</f>
        <v>1</v>
      </c>
    </row>
    <row r="162" spans="1:13" hidden="1" x14ac:dyDescent="0.25">
      <c r="A162" s="15">
        <v>43379</v>
      </c>
      <c r="B162" s="14">
        <v>1</v>
      </c>
      <c r="C162" s="25">
        <v>1</v>
      </c>
      <c r="D162" s="25" t="s">
        <v>6</v>
      </c>
      <c r="E162" s="25">
        <v>1</v>
      </c>
      <c r="F162" s="25"/>
      <c r="G162" s="25" t="s">
        <v>9</v>
      </c>
      <c r="H162" s="25" t="s">
        <v>7</v>
      </c>
      <c r="I162">
        <v>74</v>
      </c>
      <c r="J162" s="25"/>
      <c r="M162" t="b">
        <f>OR(AND(Games[[#This Row],[Status]]="G",Games[[#This Row],[Augen]]&gt;60),AND(Games[[#This Row],[Status]]="V",Games[[#This Row],[Augen]]&lt;=60),Games[[#This Row],[Grundwert]]="Ramsch",Games[[#This Row],[Grundwert]]="Null")</f>
        <v>1</v>
      </c>
    </row>
    <row r="163" spans="1:13" hidden="1" x14ac:dyDescent="0.25">
      <c r="A163" s="15">
        <v>43379</v>
      </c>
      <c r="B163" s="14">
        <v>1</v>
      </c>
      <c r="C163" s="25">
        <v>2</v>
      </c>
      <c r="D163" s="25" t="s">
        <v>11</v>
      </c>
      <c r="E163" s="25">
        <v>-2</v>
      </c>
      <c r="F163" s="25"/>
      <c r="G163" s="25" t="s">
        <v>9</v>
      </c>
      <c r="H163" s="25" t="s">
        <v>12</v>
      </c>
      <c r="I163">
        <v>45</v>
      </c>
      <c r="J163" s="25"/>
      <c r="M163" t="b">
        <f>OR(AND(Games[[#This Row],[Status]]="G",Games[[#This Row],[Augen]]&gt;60),AND(Games[[#This Row],[Status]]="V",Games[[#This Row],[Augen]]&lt;=60),Games[[#This Row],[Grundwert]]="Ramsch",Games[[#This Row],[Grundwert]]="Null")</f>
        <v>1</v>
      </c>
    </row>
    <row r="164" spans="1:13" hidden="1" x14ac:dyDescent="0.25">
      <c r="A164" s="15">
        <v>43379</v>
      </c>
      <c r="B164" s="14">
        <v>1</v>
      </c>
      <c r="C164" s="25">
        <v>3</v>
      </c>
      <c r="D164" s="25" t="s">
        <v>14</v>
      </c>
      <c r="E164" s="25">
        <v>-1</v>
      </c>
      <c r="F164" s="25"/>
      <c r="G164" s="25" t="s">
        <v>9</v>
      </c>
      <c r="H164" s="25" t="s">
        <v>7</v>
      </c>
      <c r="I164">
        <v>77</v>
      </c>
      <c r="J164" s="25"/>
      <c r="M164" t="b">
        <f>OR(AND(Games[[#This Row],[Status]]="G",Games[[#This Row],[Augen]]&gt;60),AND(Games[[#This Row],[Status]]="V",Games[[#This Row],[Augen]]&lt;=60),Games[[#This Row],[Grundwert]]="Ramsch",Games[[#This Row],[Grundwert]]="Null")</f>
        <v>1</v>
      </c>
    </row>
    <row r="165" spans="1:13" hidden="1" x14ac:dyDescent="0.25">
      <c r="A165" s="15">
        <v>43379</v>
      </c>
      <c r="B165" s="14">
        <v>1</v>
      </c>
      <c r="C165" s="25">
        <v>4</v>
      </c>
      <c r="D165" s="25" t="s">
        <v>11</v>
      </c>
      <c r="E165" s="25">
        <v>1</v>
      </c>
      <c r="F165" s="25"/>
      <c r="G165" s="25" t="s">
        <v>9</v>
      </c>
      <c r="H165" s="25" t="s">
        <v>7</v>
      </c>
      <c r="I165">
        <v>76</v>
      </c>
      <c r="J165" s="25"/>
      <c r="M165" t="b">
        <f>OR(AND(Games[[#This Row],[Status]]="G",Games[[#This Row],[Augen]]&gt;60),AND(Games[[#This Row],[Status]]="V",Games[[#This Row],[Augen]]&lt;=60),Games[[#This Row],[Grundwert]]="Ramsch",Games[[#This Row],[Grundwert]]="Null")</f>
        <v>1</v>
      </c>
    </row>
    <row r="166" spans="1:13" hidden="1" x14ac:dyDescent="0.25">
      <c r="A166" s="15">
        <v>43379</v>
      </c>
      <c r="B166" s="14">
        <v>1</v>
      </c>
      <c r="C166" s="25">
        <v>5</v>
      </c>
      <c r="D166" s="25" t="s">
        <v>16</v>
      </c>
      <c r="E166" s="25">
        <v>1</v>
      </c>
      <c r="F166" s="25"/>
      <c r="G166" s="25" t="s">
        <v>13</v>
      </c>
      <c r="H166" s="25" t="s">
        <v>12</v>
      </c>
      <c r="I166">
        <v>50</v>
      </c>
      <c r="J166" s="25"/>
      <c r="M166" t="b">
        <f>OR(AND(Games[[#This Row],[Status]]="G",Games[[#This Row],[Augen]]&gt;60),AND(Games[[#This Row],[Status]]="V",Games[[#This Row],[Augen]]&lt;=60),Games[[#This Row],[Grundwert]]="Ramsch",Games[[#This Row],[Grundwert]]="Null")</f>
        <v>1</v>
      </c>
    </row>
    <row r="167" spans="1:13" hidden="1" x14ac:dyDescent="0.25">
      <c r="A167" s="15">
        <v>43379</v>
      </c>
      <c r="B167" s="14">
        <v>1</v>
      </c>
      <c r="C167" s="25">
        <v>6</v>
      </c>
      <c r="D167" s="25" t="s">
        <v>11</v>
      </c>
      <c r="E167" s="25">
        <v>-2</v>
      </c>
      <c r="F167" s="25"/>
      <c r="G167" s="25" t="s">
        <v>5</v>
      </c>
      <c r="H167" s="25" t="s">
        <v>7</v>
      </c>
      <c r="I167">
        <v>65</v>
      </c>
      <c r="J167" s="25"/>
      <c r="M167" t="b">
        <f>OR(AND(Games[[#This Row],[Status]]="G",Games[[#This Row],[Augen]]&gt;60),AND(Games[[#This Row],[Status]]="V",Games[[#This Row],[Augen]]&lt;=60),Games[[#This Row],[Grundwert]]="Ramsch",Games[[#This Row],[Grundwert]]="Null")</f>
        <v>1</v>
      </c>
    </row>
    <row r="168" spans="1:13" hidden="1" x14ac:dyDescent="0.25">
      <c r="A168" s="15">
        <v>43379</v>
      </c>
      <c r="B168" s="14">
        <v>1</v>
      </c>
      <c r="C168" s="25">
        <v>7</v>
      </c>
      <c r="D168" s="25" t="s">
        <v>11</v>
      </c>
      <c r="E168" s="25">
        <v>2</v>
      </c>
      <c r="F168" s="25" t="s">
        <v>19</v>
      </c>
      <c r="G168" s="25" t="s">
        <v>13</v>
      </c>
      <c r="H168" s="25" t="s">
        <v>7</v>
      </c>
      <c r="I168">
        <v>97</v>
      </c>
      <c r="J168" s="25"/>
      <c r="M168" t="b">
        <f>OR(AND(Games[[#This Row],[Status]]="G",Games[[#This Row],[Augen]]&gt;60),AND(Games[[#This Row],[Status]]="V",Games[[#This Row],[Augen]]&lt;=60),Games[[#This Row],[Grundwert]]="Ramsch",Games[[#This Row],[Grundwert]]="Null")</f>
        <v>1</v>
      </c>
    </row>
    <row r="169" spans="1:13" hidden="1" x14ac:dyDescent="0.25">
      <c r="A169" s="15">
        <v>43379</v>
      </c>
      <c r="B169" s="14">
        <v>1</v>
      </c>
      <c r="C169" s="25">
        <v>8</v>
      </c>
      <c r="D169" s="25" t="s">
        <v>10</v>
      </c>
      <c r="E169" s="25">
        <v>1</v>
      </c>
      <c r="F169" s="25" t="s">
        <v>19</v>
      </c>
      <c r="G169" s="25" t="s">
        <v>5</v>
      </c>
      <c r="H169" s="25" t="s">
        <v>7</v>
      </c>
      <c r="I169">
        <v>193</v>
      </c>
      <c r="J169" s="25"/>
      <c r="M169" t="b">
        <f>OR(AND(Games[[#This Row],[Status]]="G",Games[[#This Row],[Augen]]&gt;60),AND(Games[[#This Row],[Status]]="V",Games[[#This Row],[Augen]]&lt;=60),Games[[#This Row],[Grundwert]]="Ramsch",Games[[#This Row],[Grundwert]]="Null")</f>
        <v>1</v>
      </c>
    </row>
    <row r="170" spans="1:13" hidden="1" x14ac:dyDescent="0.25">
      <c r="A170" s="15">
        <v>43379</v>
      </c>
      <c r="B170" s="14">
        <v>1</v>
      </c>
      <c r="C170" s="25">
        <v>9</v>
      </c>
      <c r="D170" s="25" t="s">
        <v>16</v>
      </c>
      <c r="E170" s="25">
        <v>2</v>
      </c>
      <c r="F170" s="25"/>
      <c r="G170" s="25" t="s">
        <v>5</v>
      </c>
      <c r="H170" s="25" t="s">
        <v>7</v>
      </c>
      <c r="I170">
        <v>63</v>
      </c>
      <c r="J170" s="25"/>
      <c r="M170" t="b">
        <f>OR(AND(Games[[#This Row],[Status]]="G",Games[[#This Row],[Augen]]&gt;60),AND(Games[[#This Row],[Status]]="V",Games[[#This Row],[Augen]]&lt;=60),Games[[#This Row],[Grundwert]]="Ramsch",Games[[#This Row],[Grundwert]]="Null")</f>
        <v>1</v>
      </c>
    </row>
    <row r="171" spans="1:13" hidden="1" x14ac:dyDescent="0.25">
      <c r="A171" s="15">
        <v>43379</v>
      </c>
      <c r="B171" s="14">
        <v>1</v>
      </c>
      <c r="C171" s="25">
        <v>10</v>
      </c>
      <c r="D171" s="25" t="s">
        <v>11</v>
      </c>
      <c r="E171" s="25">
        <v>1</v>
      </c>
      <c r="F171" s="25"/>
      <c r="G171" s="25" t="s">
        <v>5</v>
      </c>
      <c r="H171" s="25" t="s">
        <v>7</v>
      </c>
      <c r="I171">
        <v>63</v>
      </c>
      <c r="J171" s="25"/>
      <c r="M171" t="b">
        <f>OR(AND(Games[[#This Row],[Status]]="G",Games[[#This Row],[Augen]]&gt;60),AND(Games[[#This Row],[Status]]="V",Games[[#This Row],[Augen]]&lt;=60),Games[[#This Row],[Grundwert]]="Ramsch",Games[[#This Row],[Grundwert]]="Null")</f>
        <v>1</v>
      </c>
    </row>
    <row r="172" spans="1:13" hidden="1" x14ac:dyDescent="0.25">
      <c r="A172" s="15">
        <v>43379</v>
      </c>
      <c r="B172" s="14">
        <v>1</v>
      </c>
      <c r="C172" s="25">
        <v>11</v>
      </c>
      <c r="D172" s="25" t="s">
        <v>6</v>
      </c>
      <c r="E172" s="25">
        <v>4</v>
      </c>
      <c r="F172" s="25"/>
      <c r="G172" s="25" t="s">
        <v>9</v>
      </c>
      <c r="H172" s="25" t="s">
        <v>7</v>
      </c>
      <c r="I172">
        <v>75</v>
      </c>
      <c r="J172" s="25"/>
      <c r="M172" t="b">
        <f>OR(AND(Games[[#This Row],[Status]]="G",Games[[#This Row],[Augen]]&gt;60),AND(Games[[#This Row],[Status]]="V",Games[[#This Row],[Augen]]&lt;=60),Games[[#This Row],[Grundwert]]="Ramsch",Games[[#This Row],[Grundwert]]="Null")</f>
        <v>1</v>
      </c>
    </row>
    <row r="173" spans="1:13" hidden="1" x14ac:dyDescent="0.25">
      <c r="A173" s="15">
        <v>43379</v>
      </c>
      <c r="B173" s="14">
        <v>1</v>
      </c>
      <c r="C173" s="25">
        <v>12</v>
      </c>
      <c r="D173" s="25" t="s">
        <v>11</v>
      </c>
      <c r="E173" s="25">
        <v>1</v>
      </c>
      <c r="F173" s="25"/>
      <c r="G173" s="25" t="s">
        <v>9</v>
      </c>
      <c r="H173" s="25" t="s">
        <v>7</v>
      </c>
      <c r="I173">
        <v>67</v>
      </c>
      <c r="J173" s="25"/>
      <c r="M173" t="b">
        <f>OR(AND(Games[[#This Row],[Status]]="G",Games[[#This Row],[Augen]]&gt;60),AND(Games[[#This Row],[Status]]="V",Games[[#This Row],[Augen]]&lt;=60),Games[[#This Row],[Grundwert]]="Ramsch",Games[[#This Row],[Grundwert]]="Null")</f>
        <v>1</v>
      </c>
    </row>
    <row r="174" spans="1:13" hidden="1" x14ac:dyDescent="0.25">
      <c r="A174" s="15">
        <v>43379</v>
      </c>
      <c r="B174" s="14">
        <v>1</v>
      </c>
      <c r="C174" s="25">
        <v>13</v>
      </c>
      <c r="D174" s="25" t="s">
        <v>16</v>
      </c>
      <c r="E174" s="25">
        <v>1</v>
      </c>
      <c r="F174" s="25"/>
      <c r="G174" s="25" t="s">
        <v>13</v>
      </c>
      <c r="H174" s="25" t="s">
        <v>7</v>
      </c>
      <c r="I174">
        <v>67</v>
      </c>
      <c r="J174" s="25"/>
      <c r="M174" t="b">
        <f>OR(AND(Games[[#This Row],[Status]]="G",Games[[#This Row],[Augen]]&gt;60),AND(Games[[#This Row],[Status]]="V",Games[[#This Row],[Augen]]&lt;=60),Games[[#This Row],[Grundwert]]="Ramsch",Games[[#This Row],[Grundwert]]="Null")</f>
        <v>1</v>
      </c>
    </row>
    <row r="175" spans="1:13" hidden="1" x14ac:dyDescent="0.25">
      <c r="A175" s="15">
        <v>43379</v>
      </c>
      <c r="B175" s="14">
        <v>1</v>
      </c>
      <c r="C175" s="25">
        <v>14</v>
      </c>
      <c r="D175" s="25" t="s">
        <v>6</v>
      </c>
      <c r="E175" s="25">
        <v>-3</v>
      </c>
      <c r="F175" s="25"/>
      <c r="G175" s="25" t="s">
        <v>13</v>
      </c>
      <c r="H175" s="25" t="s">
        <v>7</v>
      </c>
      <c r="I175">
        <v>84</v>
      </c>
      <c r="J175" s="25"/>
      <c r="M175" t="b">
        <f>OR(AND(Games[[#This Row],[Status]]="G",Games[[#This Row],[Augen]]&gt;60),AND(Games[[#This Row],[Status]]="V",Games[[#This Row],[Augen]]&lt;=60),Games[[#This Row],[Grundwert]]="Ramsch",Games[[#This Row],[Grundwert]]="Null")</f>
        <v>1</v>
      </c>
    </row>
    <row r="176" spans="1:13" hidden="1" x14ac:dyDescent="0.25">
      <c r="A176" s="15">
        <v>43379</v>
      </c>
      <c r="B176" s="14">
        <v>1</v>
      </c>
      <c r="C176" s="25">
        <v>15</v>
      </c>
      <c r="D176" s="25" t="s">
        <v>10</v>
      </c>
      <c r="E176" s="25">
        <v>4</v>
      </c>
      <c r="F176" s="25" t="s">
        <v>19</v>
      </c>
      <c r="G176" s="25" t="s">
        <v>9</v>
      </c>
      <c r="H176" s="25" t="s">
        <v>7</v>
      </c>
      <c r="I176">
        <v>110</v>
      </c>
      <c r="J176" s="25"/>
      <c r="M176" t="b">
        <f>OR(AND(Games[[#This Row],[Status]]="G",Games[[#This Row],[Augen]]&gt;60),AND(Games[[#This Row],[Status]]="V",Games[[#This Row],[Augen]]&lt;=60),Games[[#This Row],[Grundwert]]="Ramsch",Games[[#This Row],[Grundwert]]="Null")</f>
        <v>1</v>
      </c>
    </row>
    <row r="177" spans="1:13" hidden="1" x14ac:dyDescent="0.25">
      <c r="A177" s="15">
        <v>43379</v>
      </c>
      <c r="B177" s="14">
        <v>1</v>
      </c>
      <c r="C177" s="25">
        <v>16</v>
      </c>
      <c r="D177" s="25" t="s">
        <v>14</v>
      </c>
      <c r="E177" s="25">
        <v>1</v>
      </c>
      <c r="F177" s="25" t="s">
        <v>22</v>
      </c>
      <c r="G177" s="25" t="s">
        <v>9</v>
      </c>
      <c r="H177" s="25" t="s">
        <v>7</v>
      </c>
      <c r="I177">
        <v>86</v>
      </c>
      <c r="J177" s="25"/>
      <c r="M177" t="b">
        <f>OR(AND(Games[[#This Row],[Status]]="G",Games[[#This Row],[Augen]]&gt;60),AND(Games[[#This Row],[Status]]="V",Games[[#This Row],[Augen]]&lt;=60),Games[[#This Row],[Grundwert]]="Ramsch",Games[[#This Row],[Grundwert]]="Null")</f>
        <v>1</v>
      </c>
    </row>
    <row r="178" spans="1:13" hidden="1" x14ac:dyDescent="0.25">
      <c r="A178" s="15">
        <v>43379</v>
      </c>
      <c r="B178" s="14">
        <v>1</v>
      </c>
      <c r="C178" s="25">
        <v>17</v>
      </c>
      <c r="D178" s="25" t="s">
        <v>10</v>
      </c>
      <c r="E178" s="25">
        <v>1</v>
      </c>
      <c r="F178" s="25"/>
      <c r="G178" s="25" t="s">
        <v>5</v>
      </c>
      <c r="H178" s="25" t="s">
        <v>7</v>
      </c>
      <c r="I178">
        <v>83</v>
      </c>
      <c r="J178" s="25"/>
      <c r="M178" t="b">
        <f>OR(AND(Games[[#This Row],[Status]]="G",Games[[#This Row],[Augen]]&gt;60),AND(Games[[#This Row],[Status]]="V",Games[[#This Row],[Augen]]&lt;=60),Games[[#This Row],[Grundwert]]="Ramsch",Games[[#This Row],[Grundwert]]="Null")</f>
        <v>1</v>
      </c>
    </row>
    <row r="179" spans="1:13" hidden="1" x14ac:dyDescent="0.25">
      <c r="A179" s="15">
        <v>43379</v>
      </c>
      <c r="B179" s="14">
        <v>1</v>
      </c>
      <c r="C179" s="25">
        <v>18</v>
      </c>
      <c r="D179" s="25" t="s">
        <v>10</v>
      </c>
      <c r="E179" s="25">
        <v>3</v>
      </c>
      <c r="F179" s="25" t="s">
        <v>19</v>
      </c>
      <c r="G179" s="25" t="s">
        <v>13</v>
      </c>
      <c r="H179" s="25" t="s">
        <v>7</v>
      </c>
      <c r="I179">
        <v>93</v>
      </c>
      <c r="J179" s="25"/>
      <c r="M179" t="b">
        <f>OR(AND(Games[[#This Row],[Status]]="G",Games[[#This Row],[Augen]]&gt;60),AND(Games[[#This Row],[Status]]="V",Games[[#This Row],[Augen]]&lt;=60),Games[[#This Row],[Grundwert]]="Ramsch",Games[[#This Row],[Grundwert]]="Null")</f>
        <v>1</v>
      </c>
    </row>
    <row r="180" spans="1:13" hidden="1" x14ac:dyDescent="0.25">
      <c r="A180" s="15">
        <v>43379</v>
      </c>
      <c r="B180" s="14">
        <v>1</v>
      </c>
      <c r="C180" s="25">
        <v>19</v>
      </c>
      <c r="D180" s="25" t="s">
        <v>17</v>
      </c>
      <c r="E180" s="25"/>
      <c r="F180" s="25"/>
      <c r="G180" s="25" t="s">
        <v>5</v>
      </c>
      <c r="H180" s="25" t="s">
        <v>12</v>
      </c>
      <c r="I180">
        <v>77</v>
      </c>
      <c r="J180" s="25"/>
      <c r="M180" t="b">
        <f>OR(AND(Games[[#This Row],[Status]]="G",Games[[#This Row],[Augen]]&gt;60),AND(Games[[#This Row],[Status]]="V",Games[[#This Row],[Augen]]&lt;=60),Games[[#This Row],[Grundwert]]="Ramsch",Games[[#This Row],[Grundwert]]="Null")</f>
        <v>1</v>
      </c>
    </row>
    <row r="181" spans="1:13" hidden="1" x14ac:dyDescent="0.25">
      <c r="A181" s="15">
        <v>43379</v>
      </c>
      <c r="B181" s="14">
        <v>1</v>
      </c>
      <c r="C181" s="25">
        <v>20</v>
      </c>
      <c r="D181" s="25" t="s">
        <v>10</v>
      </c>
      <c r="E181" s="25">
        <v>3</v>
      </c>
      <c r="F181" s="25" t="s">
        <v>19</v>
      </c>
      <c r="G181" s="25" t="s">
        <v>5</v>
      </c>
      <c r="H181" s="25" t="s">
        <v>7</v>
      </c>
      <c r="I181">
        <v>102</v>
      </c>
      <c r="J181" s="25"/>
      <c r="M181" t="b">
        <f>OR(AND(Games[[#This Row],[Status]]="G",Games[[#This Row],[Augen]]&gt;60),AND(Games[[#This Row],[Status]]="V",Games[[#This Row],[Augen]]&lt;=60),Games[[#This Row],[Grundwert]]="Ramsch",Games[[#This Row],[Grundwert]]="Null")</f>
        <v>1</v>
      </c>
    </row>
    <row r="182" spans="1:13" hidden="1" x14ac:dyDescent="0.25">
      <c r="A182" s="15">
        <v>43379</v>
      </c>
      <c r="B182" s="14">
        <v>1</v>
      </c>
      <c r="C182" s="25">
        <v>21</v>
      </c>
      <c r="D182" s="25" t="s">
        <v>11</v>
      </c>
      <c r="E182" s="25">
        <v>2</v>
      </c>
      <c r="F182" s="25"/>
      <c r="G182" s="25" t="s">
        <v>5</v>
      </c>
      <c r="H182" s="25" t="s">
        <v>12</v>
      </c>
      <c r="I182">
        <v>31</v>
      </c>
      <c r="J182" s="25"/>
      <c r="M182" t="b">
        <f>OR(AND(Games[[#This Row],[Status]]="G",Games[[#This Row],[Augen]]&gt;60),AND(Games[[#This Row],[Status]]="V",Games[[#This Row],[Augen]]&lt;=60),Games[[#This Row],[Grundwert]]="Ramsch",Games[[#This Row],[Grundwert]]="Null")</f>
        <v>1</v>
      </c>
    </row>
    <row r="183" spans="1:13" hidden="1" x14ac:dyDescent="0.25">
      <c r="A183" s="15">
        <v>43379</v>
      </c>
      <c r="B183" s="14">
        <v>1</v>
      </c>
      <c r="C183" s="25">
        <v>22</v>
      </c>
      <c r="D183" s="25" t="s">
        <v>15</v>
      </c>
      <c r="E183" s="25"/>
      <c r="F183" s="25"/>
      <c r="G183" s="25" t="s">
        <v>5</v>
      </c>
      <c r="H183" s="25" t="s">
        <v>12</v>
      </c>
      <c r="J183" s="25"/>
      <c r="M183" t="b">
        <f>OR(AND(Games[[#This Row],[Status]]="G",Games[[#This Row],[Augen]]&gt;60),AND(Games[[#This Row],[Status]]="V",Games[[#This Row],[Augen]]&lt;=60),Games[[#This Row],[Grundwert]]="Ramsch",Games[[#This Row],[Grundwert]]="Null")</f>
        <v>1</v>
      </c>
    </row>
    <row r="184" spans="1:13" hidden="1" x14ac:dyDescent="0.25">
      <c r="A184" s="15">
        <v>43379</v>
      </c>
      <c r="B184" s="14">
        <v>1</v>
      </c>
      <c r="C184" s="25">
        <v>23</v>
      </c>
      <c r="D184" s="25" t="s">
        <v>10</v>
      </c>
      <c r="E184" s="25">
        <v>4</v>
      </c>
      <c r="F184" s="25" t="s">
        <v>25</v>
      </c>
      <c r="G184" s="25" t="s">
        <v>5</v>
      </c>
      <c r="H184" s="25" t="s">
        <v>7</v>
      </c>
      <c r="I184">
        <v>106</v>
      </c>
      <c r="J184" s="25"/>
      <c r="M184" t="b">
        <f>OR(AND(Games[[#This Row],[Status]]="G",Games[[#This Row],[Augen]]&gt;60),AND(Games[[#This Row],[Status]]="V",Games[[#This Row],[Augen]]&lt;=60),Games[[#This Row],[Grundwert]]="Ramsch",Games[[#This Row],[Grundwert]]="Null")</f>
        <v>1</v>
      </c>
    </row>
    <row r="185" spans="1:13" hidden="1" x14ac:dyDescent="0.25">
      <c r="A185" s="15">
        <v>43379</v>
      </c>
      <c r="B185" s="14">
        <v>1</v>
      </c>
      <c r="C185" s="25">
        <v>24</v>
      </c>
      <c r="D185" s="25" t="s">
        <v>10</v>
      </c>
      <c r="E185" s="25">
        <v>-1</v>
      </c>
      <c r="F185" s="25"/>
      <c r="G185" s="25" t="s">
        <v>5</v>
      </c>
      <c r="H185" s="25" t="s">
        <v>7</v>
      </c>
      <c r="I185">
        <v>78</v>
      </c>
      <c r="J185" s="25"/>
      <c r="M185" t="b">
        <f>OR(AND(Games[[#This Row],[Status]]="G",Games[[#This Row],[Augen]]&gt;60),AND(Games[[#This Row],[Status]]="V",Games[[#This Row],[Augen]]&lt;=60),Games[[#This Row],[Grundwert]]="Ramsch",Games[[#This Row],[Grundwert]]="Null")</f>
        <v>1</v>
      </c>
    </row>
    <row r="186" spans="1:13" hidden="1" x14ac:dyDescent="0.25">
      <c r="A186" s="15">
        <v>43379</v>
      </c>
      <c r="B186" s="14">
        <v>1</v>
      </c>
      <c r="C186" s="25">
        <v>25</v>
      </c>
      <c r="D186" s="25" t="s">
        <v>6</v>
      </c>
      <c r="E186" s="25">
        <v>1</v>
      </c>
      <c r="F186" s="25"/>
      <c r="G186" s="25" t="s">
        <v>5</v>
      </c>
      <c r="H186" s="25" t="s">
        <v>7</v>
      </c>
      <c r="I186">
        <v>61</v>
      </c>
      <c r="J186" s="25"/>
      <c r="M186" t="b">
        <f>OR(AND(Games[[#This Row],[Status]]="G",Games[[#This Row],[Augen]]&gt;60),AND(Games[[#This Row],[Status]]="V",Games[[#This Row],[Augen]]&lt;=60),Games[[#This Row],[Grundwert]]="Ramsch",Games[[#This Row],[Grundwert]]="Null")</f>
        <v>1</v>
      </c>
    </row>
    <row r="187" spans="1:13" hidden="1" x14ac:dyDescent="0.25">
      <c r="A187" s="15">
        <v>43379</v>
      </c>
      <c r="B187" s="14">
        <v>1</v>
      </c>
      <c r="C187" s="25">
        <v>26</v>
      </c>
      <c r="D187" s="25" t="s">
        <v>10</v>
      </c>
      <c r="E187" s="25">
        <v>1</v>
      </c>
      <c r="F187" s="25" t="s">
        <v>19</v>
      </c>
      <c r="G187" s="25" t="s">
        <v>13</v>
      </c>
      <c r="H187" s="25" t="s">
        <v>7</v>
      </c>
      <c r="I187">
        <v>105</v>
      </c>
      <c r="J187" s="25"/>
      <c r="M187" t="b">
        <f>OR(AND(Games[[#This Row],[Status]]="G",Games[[#This Row],[Augen]]&gt;60),AND(Games[[#This Row],[Status]]="V",Games[[#This Row],[Augen]]&lt;=60),Games[[#This Row],[Grundwert]]="Ramsch",Games[[#This Row],[Grundwert]]="Null")</f>
        <v>1</v>
      </c>
    </row>
    <row r="188" spans="1:13" hidden="1" x14ac:dyDescent="0.25">
      <c r="A188" s="15">
        <v>43379</v>
      </c>
      <c r="B188" s="14">
        <v>1</v>
      </c>
      <c r="C188" s="25">
        <v>27</v>
      </c>
      <c r="D188" s="25" t="s">
        <v>15</v>
      </c>
      <c r="E188" s="25"/>
      <c r="F188" s="25" t="s">
        <v>22</v>
      </c>
      <c r="G188" s="25" t="s">
        <v>13</v>
      </c>
      <c r="H188" s="25" t="s">
        <v>7</v>
      </c>
      <c r="J188" s="25"/>
      <c r="M188" t="b">
        <f>OR(AND(Games[[#This Row],[Status]]="G",Games[[#This Row],[Augen]]&gt;60),AND(Games[[#This Row],[Status]]="V",Games[[#This Row],[Augen]]&lt;=60),Games[[#This Row],[Grundwert]]="Ramsch",Games[[#This Row],[Grundwert]]="Null")</f>
        <v>1</v>
      </c>
    </row>
    <row r="189" spans="1:13" hidden="1" x14ac:dyDescent="0.25">
      <c r="A189" s="15">
        <v>43379</v>
      </c>
      <c r="B189" s="14">
        <v>1</v>
      </c>
      <c r="C189" s="25">
        <v>28</v>
      </c>
      <c r="D189" s="25" t="s">
        <v>11</v>
      </c>
      <c r="E189" s="25">
        <v>-2</v>
      </c>
      <c r="F189" s="25"/>
      <c r="G189" s="25" t="s">
        <v>9</v>
      </c>
      <c r="H189" s="25" t="s">
        <v>7</v>
      </c>
      <c r="I189">
        <v>66</v>
      </c>
      <c r="J189" s="25"/>
      <c r="M189" t="b">
        <f>OR(AND(Games[[#This Row],[Status]]="G",Games[[#This Row],[Augen]]&gt;60),AND(Games[[#This Row],[Status]]="V",Games[[#This Row],[Augen]]&lt;=60),Games[[#This Row],[Grundwert]]="Ramsch",Games[[#This Row],[Grundwert]]="Null")</f>
        <v>1</v>
      </c>
    </row>
    <row r="190" spans="1:13" hidden="1" x14ac:dyDescent="0.25">
      <c r="A190" s="15">
        <v>43379</v>
      </c>
      <c r="B190" s="14">
        <v>1</v>
      </c>
      <c r="C190" s="25">
        <v>29</v>
      </c>
      <c r="D190" s="25" t="s">
        <v>10</v>
      </c>
      <c r="E190" s="25">
        <v>1</v>
      </c>
      <c r="F190" s="25" t="s">
        <v>19</v>
      </c>
      <c r="G190" s="25" t="s">
        <v>13</v>
      </c>
      <c r="H190" s="25" t="s">
        <v>7</v>
      </c>
      <c r="I190">
        <v>66</v>
      </c>
      <c r="J190" s="25"/>
      <c r="M190" t="b">
        <f>OR(AND(Games[[#This Row],[Status]]="G",Games[[#This Row],[Augen]]&gt;60),AND(Games[[#This Row],[Status]]="V",Games[[#This Row],[Augen]]&lt;=60),Games[[#This Row],[Grundwert]]="Ramsch",Games[[#This Row],[Grundwert]]="Null")</f>
        <v>1</v>
      </c>
    </row>
    <row r="191" spans="1:13" hidden="1" x14ac:dyDescent="0.25">
      <c r="A191" s="15">
        <v>43379</v>
      </c>
      <c r="B191" s="14">
        <v>1</v>
      </c>
      <c r="C191" s="25">
        <v>30</v>
      </c>
      <c r="D191" s="25" t="s">
        <v>10</v>
      </c>
      <c r="E191" s="25">
        <v>2</v>
      </c>
      <c r="F191" s="25"/>
      <c r="G191" s="25" t="s">
        <v>5</v>
      </c>
      <c r="H191" s="25" t="s">
        <v>7</v>
      </c>
      <c r="I191">
        <v>83</v>
      </c>
      <c r="J191" s="25"/>
      <c r="M191" t="b">
        <f>OR(AND(Games[[#This Row],[Status]]="G",Games[[#This Row],[Augen]]&gt;60),AND(Games[[#This Row],[Status]]="V",Games[[#This Row],[Augen]]&lt;=60),Games[[#This Row],[Grundwert]]="Ramsch",Games[[#This Row],[Grundwert]]="Null")</f>
        <v>1</v>
      </c>
    </row>
    <row r="192" spans="1:13" hidden="1" x14ac:dyDescent="0.25">
      <c r="A192" s="15">
        <v>43379</v>
      </c>
      <c r="B192" s="14">
        <v>1</v>
      </c>
      <c r="C192" s="25">
        <v>31</v>
      </c>
      <c r="D192" s="25" t="s">
        <v>6</v>
      </c>
      <c r="E192" s="25">
        <v>1</v>
      </c>
      <c r="F192" s="25"/>
      <c r="G192" s="25" t="s">
        <v>9</v>
      </c>
      <c r="H192" s="25" t="s">
        <v>12</v>
      </c>
      <c r="I192">
        <v>55</v>
      </c>
      <c r="J192" s="25"/>
      <c r="M192" t="b">
        <f>OR(AND(Games[[#This Row],[Status]]="G",Games[[#This Row],[Augen]]&gt;60),AND(Games[[#This Row],[Status]]="V",Games[[#This Row],[Augen]]&lt;=60),Games[[#This Row],[Grundwert]]="Ramsch",Games[[#This Row],[Grundwert]]="Null")</f>
        <v>1</v>
      </c>
    </row>
    <row r="193" spans="1:13" hidden="1" x14ac:dyDescent="0.25">
      <c r="A193" s="15">
        <v>43379</v>
      </c>
      <c r="B193" s="14">
        <v>1</v>
      </c>
      <c r="C193" s="25">
        <v>32</v>
      </c>
      <c r="D193" s="25" t="s">
        <v>15</v>
      </c>
      <c r="E193" s="25"/>
      <c r="F193" s="25" t="s">
        <v>30</v>
      </c>
      <c r="G193" s="25" t="s">
        <v>5</v>
      </c>
      <c r="H193" s="25" t="s">
        <v>7</v>
      </c>
      <c r="J193" s="25"/>
      <c r="M193" t="b">
        <f>OR(AND(Games[[#This Row],[Status]]="G",Games[[#This Row],[Augen]]&gt;60),AND(Games[[#This Row],[Status]]="V",Games[[#This Row],[Augen]]&lt;=60),Games[[#This Row],[Grundwert]]="Ramsch",Games[[#This Row],[Grundwert]]="Null")</f>
        <v>1</v>
      </c>
    </row>
    <row r="194" spans="1:13" hidden="1" x14ac:dyDescent="0.25">
      <c r="A194" s="15">
        <v>43379</v>
      </c>
      <c r="B194" s="14">
        <v>1</v>
      </c>
      <c r="C194" s="25">
        <v>33</v>
      </c>
      <c r="D194" s="25" t="s">
        <v>16</v>
      </c>
      <c r="E194" s="25">
        <v>2</v>
      </c>
      <c r="F194" s="25"/>
      <c r="G194" s="25" t="s">
        <v>5</v>
      </c>
      <c r="H194" s="25" t="s">
        <v>12</v>
      </c>
      <c r="I194">
        <v>48</v>
      </c>
      <c r="J194" s="25"/>
      <c r="M194" t="b">
        <f>OR(AND(Games[[#This Row],[Status]]="G",Games[[#This Row],[Augen]]&gt;60),AND(Games[[#This Row],[Status]]="V",Games[[#This Row],[Augen]]&lt;=60),Games[[#This Row],[Grundwert]]="Ramsch",Games[[#This Row],[Grundwert]]="Null")</f>
        <v>1</v>
      </c>
    </row>
    <row r="195" spans="1:13" hidden="1" x14ac:dyDescent="0.25">
      <c r="A195" s="15">
        <v>43379</v>
      </c>
      <c r="B195" s="14">
        <v>1</v>
      </c>
      <c r="C195" s="25">
        <v>34</v>
      </c>
      <c r="D195" s="25" t="s">
        <v>15</v>
      </c>
      <c r="E195" s="25"/>
      <c r="F195" s="25"/>
      <c r="G195" s="25" t="s">
        <v>13</v>
      </c>
      <c r="H195" s="25" t="s">
        <v>12</v>
      </c>
      <c r="J195" s="25"/>
      <c r="M195" t="b">
        <f>OR(AND(Games[[#This Row],[Status]]="G",Games[[#This Row],[Augen]]&gt;60),AND(Games[[#This Row],[Status]]="V",Games[[#This Row],[Augen]]&lt;=60),Games[[#This Row],[Grundwert]]="Ramsch",Games[[#This Row],[Grundwert]]="Null")</f>
        <v>1</v>
      </c>
    </row>
    <row r="196" spans="1:13" hidden="1" x14ac:dyDescent="0.25">
      <c r="A196" s="15">
        <v>43379</v>
      </c>
      <c r="B196" s="14">
        <v>1</v>
      </c>
      <c r="C196" s="25">
        <v>35</v>
      </c>
      <c r="D196" s="25" t="s">
        <v>16</v>
      </c>
      <c r="E196" s="25">
        <v>1</v>
      </c>
      <c r="F196" s="25" t="s">
        <v>19</v>
      </c>
      <c r="G196" s="25" t="s">
        <v>5</v>
      </c>
      <c r="H196" s="25" t="s">
        <v>7</v>
      </c>
      <c r="I196">
        <v>92</v>
      </c>
      <c r="J196" s="25"/>
      <c r="M196" t="b">
        <f>OR(AND(Games[[#This Row],[Status]]="G",Games[[#This Row],[Augen]]&gt;60),AND(Games[[#This Row],[Status]]="V",Games[[#This Row],[Augen]]&lt;=60),Games[[#This Row],[Grundwert]]="Ramsch",Games[[#This Row],[Grundwert]]="Null")</f>
        <v>1</v>
      </c>
    </row>
    <row r="197" spans="1:13" hidden="1" x14ac:dyDescent="0.25">
      <c r="A197" s="15">
        <v>43379</v>
      </c>
      <c r="B197" s="14">
        <v>1</v>
      </c>
      <c r="C197" s="25">
        <v>36</v>
      </c>
      <c r="D197" s="25" t="s">
        <v>16</v>
      </c>
      <c r="E197" s="25">
        <v>3</v>
      </c>
      <c r="F197" s="25"/>
      <c r="G197" s="25" t="s">
        <v>9</v>
      </c>
      <c r="H197" s="25" t="s">
        <v>7</v>
      </c>
      <c r="I197">
        <v>73</v>
      </c>
      <c r="J197" s="25"/>
      <c r="M197" t="b">
        <f>OR(AND(Games[[#This Row],[Status]]="G",Games[[#This Row],[Augen]]&gt;60),AND(Games[[#This Row],[Status]]="V",Games[[#This Row],[Augen]]&lt;=60),Games[[#This Row],[Grundwert]]="Ramsch",Games[[#This Row],[Grundwert]]="Null")</f>
        <v>1</v>
      </c>
    </row>
    <row r="198" spans="1:13" x14ac:dyDescent="0.25">
      <c r="A198" s="15">
        <v>43380</v>
      </c>
      <c r="B198" s="14">
        <v>1</v>
      </c>
      <c r="C198" s="25">
        <v>1</v>
      </c>
      <c r="D198" s="25" t="s">
        <v>10</v>
      </c>
      <c r="E198" s="25">
        <v>2</v>
      </c>
      <c r="F198" s="25" t="s">
        <v>19</v>
      </c>
      <c r="G198" s="25" t="s">
        <v>13</v>
      </c>
      <c r="H198" s="25" t="s">
        <v>7</v>
      </c>
      <c r="I198">
        <v>95</v>
      </c>
      <c r="J198" s="25"/>
      <c r="M198" t="b">
        <f>OR(AND(Games[[#This Row],[Status]]="G",Games[[#This Row],[Augen]]&gt;60),AND(Games[[#This Row],[Status]]="V",Games[[#This Row],[Augen]]&lt;=60),Games[[#This Row],[Grundwert]]="Ramsch",Games[[#This Row],[Grundwert]]="Null")</f>
        <v>1</v>
      </c>
    </row>
    <row r="199" spans="1:13" x14ac:dyDescent="0.25">
      <c r="A199" s="15">
        <v>43380</v>
      </c>
      <c r="B199" s="14">
        <v>1</v>
      </c>
      <c r="C199" s="25">
        <v>2</v>
      </c>
      <c r="D199" s="25" t="s">
        <v>16</v>
      </c>
      <c r="E199" s="25">
        <v>-1</v>
      </c>
      <c r="F199" s="25"/>
      <c r="G199" s="25" t="s">
        <v>5</v>
      </c>
      <c r="H199" s="25" t="s">
        <v>7</v>
      </c>
      <c r="I199">
        <v>85</v>
      </c>
      <c r="J199" s="25"/>
      <c r="M199" t="b">
        <f>OR(AND(Games[[#This Row],[Status]]="G",Games[[#This Row],[Augen]]&gt;60),AND(Games[[#This Row],[Status]]="V",Games[[#This Row],[Augen]]&lt;=60),Games[[#This Row],[Grundwert]]="Ramsch",Games[[#This Row],[Grundwert]]="Null")</f>
        <v>1</v>
      </c>
    </row>
    <row r="200" spans="1:13" x14ac:dyDescent="0.25">
      <c r="A200" s="15">
        <v>43380</v>
      </c>
      <c r="B200" s="14">
        <v>1</v>
      </c>
      <c r="C200" s="25">
        <v>3</v>
      </c>
      <c r="D200" s="25" t="s">
        <v>10</v>
      </c>
      <c r="E200" s="25">
        <v>-1</v>
      </c>
      <c r="F200" s="25"/>
      <c r="G200" s="25" t="s">
        <v>9</v>
      </c>
      <c r="H200" s="25" t="s">
        <v>7</v>
      </c>
      <c r="I200">
        <v>84</v>
      </c>
      <c r="J200" s="25"/>
      <c r="M200" t="b">
        <f>OR(AND(Games[[#This Row],[Status]]="G",Games[[#This Row],[Augen]]&gt;60),AND(Games[[#This Row],[Status]]="V",Games[[#This Row],[Augen]]&lt;=60),Games[[#This Row],[Grundwert]]="Ramsch",Games[[#This Row],[Grundwert]]="Null")</f>
        <v>1</v>
      </c>
    </row>
    <row r="201" spans="1:13" x14ac:dyDescent="0.25">
      <c r="A201" s="15">
        <v>43380</v>
      </c>
      <c r="B201" s="14">
        <v>1</v>
      </c>
      <c r="C201" s="25">
        <v>4</v>
      </c>
      <c r="D201" s="25" t="s">
        <v>6</v>
      </c>
      <c r="E201" s="25">
        <v>-2</v>
      </c>
      <c r="F201" s="25"/>
      <c r="G201" s="25" t="s">
        <v>5</v>
      </c>
      <c r="H201" s="25" t="s">
        <v>7</v>
      </c>
      <c r="I201">
        <v>62</v>
      </c>
      <c r="J201" s="25"/>
      <c r="M201" t="b">
        <f>OR(AND(Games[[#This Row],[Status]]="G",Games[[#This Row],[Augen]]&gt;60),AND(Games[[#This Row],[Status]]="V",Games[[#This Row],[Augen]]&lt;=60),Games[[#This Row],[Grundwert]]="Ramsch",Games[[#This Row],[Grundwert]]="Null")</f>
        <v>1</v>
      </c>
    </row>
    <row r="202" spans="1:13" x14ac:dyDescent="0.25">
      <c r="A202" s="15">
        <v>43380</v>
      </c>
      <c r="B202" s="14">
        <v>1</v>
      </c>
      <c r="C202" s="25">
        <v>5</v>
      </c>
      <c r="D202" s="25" t="s">
        <v>11</v>
      </c>
      <c r="E202" s="25">
        <v>-1</v>
      </c>
      <c r="F202" s="25"/>
      <c r="G202" s="25" t="s">
        <v>13</v>
      </c>
      <c r="H202" s="25" t="s">
        <v>12</v>
      </c>
      <c r="I202">
        <v>40</v>
      </c>
      <c r="J202" s="25"/>
      <c r="M202" t="b">
        <f>OR(AND(Games[[#This Row],[Status]]="G",Games[[#This Row],[Augen]]&gt;60),AND(Games[[#This Row],[Status]]="V",Games[[#This Row],[Augen]]&lt;=60),Games[[#This Row],[Grundwert]]="Ramsch",Games[[#This Row],[Grundwert]]="Null")</f>
        <v>1</v>
      </c>
    </row>
    <row r="203" spans="1:13" x14ac:dyDescent="0.25">
      <c r="A203" s="15">
        <v>43380</v>
      </c>
      <c r="B203" s="14">
        <v>1</v>
      </c>
      <c r="C203" s="25">
        <v>6</v>
      </c>
      <c r="D203" s="25" t="s">
        <v>11</v>
      </c>
      <c r="E203" s="25">
        <v>-1</v>
      </c>
      <c r="F203" s="25"/>
      <c r="G203" s="25" t="s">
        <v>9</v>
      </c>
      <c r="H203" s="25" t="s">
        <v>12</v>
      </c>
      <c r="I203">
        <v>55</v>
      </c>
      <c r="J203" s="25"/>
      <c r="M203" t="b">
        <f>OR(AND(Games[[#This Row],[Status]]="G",Games[[#This Row],[Augen]]&gt;60),AND(Games[[#This Row],[Status]]="V",Games[[#This Row],[Augen]]&lt;=60),Games[[#This Row],[Grundwert]]="Ramsch",Games[[#This Row],[Grundwert]]="Null")</f>
        <v>1</v>
      </c>
    </row>
    <row r="204" spans="1:13" x14ac:dyDescent="0.25">
      <c r="A204" s="15">
        <v>43380</v>
      </c>
      <c r="B204" s="14">
        <v>1</v>
      </c>
      <c r="C204" s="25">
        <v>7</v>
      </c>
      <c r="D204" s="25" t="s">
        <v>10</v>
      </c>
      <c r="E204" s="25">
        <v>4</v>
      </c>
      <c r="F204" s="25"/>
      <c r="G204" s="25" t="s">
        <v>9</v>
      </c>
      <c r="H204" s="25" t="s">
        <v>7</v>
      </c>
      <c r="I204">
        <v>88</v>
      </c>
      <c r="J204" s="25"/>
      <c r="M204" t="b">
        <f>OR(AND(Games[[#This Row],[Status]]="G",Games[[#This Row],[Augen]]&gt;60),AND(Games[[#This Row],[Status]]="V",Games[[#This Row],[Augen]]&lt;=60),Games[[#This Row],[Grundwert]]="Ramsch",Games[[#This Row],[Grundwert]]="Null")</f>
        <v>1</v>
      </c>
    </row>
    <row r="205" spans="1:13" x14ac:dyDescent="0.25">
      <c r="A205" s="15">
        <v>43380</v>
      </c>
      <c r="B205" s="14">
        <v>1</v>
      </c>
      <c r="C205" s="25">
        <v>8</v>
      </c>
      <c r="D205" s="25" t="s">
        <v>6</v>
      </c>
      <c r="E205" s="25">
        <v>4</v>
      </c>
      <c r="F205" s="25" t="s">
        <v>19</v>
      </c>
      <c r="G205" s="25" t="s">
        <v>13</v>
      </c>
      <c r="H205" s="25" t="s">
        <v>7</v>
      </c>
      <c r="I205">
        <v>95</v>
      </c>
      <c r="J205" s="25"/>
      <c r="M205" t="b">
        <f>OR(AND(Games[[#This Row],[Status]]="G",Games[[#This Row],[Augen]]&gt;60),AND(Games[[#This Row],[Status]]="V",Games[[#This Row],[Augen]]&lt;=60),Games[[#This Row],[Grundwert]]="Ramsch",Games[[#This Row],[Grundwert]]="Null")</f>
        <v>1</v>
      </c>
    </row>
    <row r="206" spans="1:13" x14ac:dyDescent="0.25">
      <c r="A206" s="15">
        <v>43380</v>
      </c>
      <c r="B206" s="14">
        <v>1</v>
      </c>
      <c r="C206" s="25">
        <v>9</v>
      </c>
      <c r="D206" s="25" t="s">
        <v>11</v>
      </c>
      <c r="E206" s="25">
        <v>-1</v>
      </c>
      <c r="F206" s="25"/>
      <c r="G206" s="25" t="s">
        <v>9</v>
      </c>
      <c r="H206" s="25" t="s">
        <v>12</v>
      </c>
      <c r="I206">
        <v>48</v>
      </c>
      <c r="J206" s="25"/>
      <c r="M206" t="b">
        <f>OR(AND(Games[[#This Row],[Status]]="G",Games[[#This Row],[Augen]]&gt;60),AND(Games[[#This Row],[Status]]="V",Games[[#This Row],[Augen]]&lt;=60),Games[[#This Row],[Grundwert]]="Ramsch",Games[[#This Row],[Grundwert]]="Null")</f>
        <v>1</v>
      </c>
    </row>
    <row r="207" spans="1:13" x14ac:dyDescent="0.25">
      <c r="A207" s="15">
        <v>43380</v>
      </c>
      <c r="B207" s="14">
        <v>1</v>
      </c>
      <c r="C207" s="25">
        <v>10</v>
      </c>
      <c r="D207" s="25" t="s">
        <v>11</v>
      </c>
      <c r="E207" s="25">
        <v>1</v>
      </c>
      <c r="F207" s="25"/>
      <c r="G207" s="25" t="s">
        <v>5</v>
      </c>
      <c r="H207" s="25" t="s">
        <v>7</v>
      </c>
      <c r="I207">
        <v>68</v>
      </c>
      <c r="J207" s="25"/>
      <c r="M207" t="b">
        <f>OR(AND(Games[[#This Row],[Status]]="G",Games[[#This Row],[Augen]]&gt;60),AND(Games[[#This Row],[Status]]="V",Games[[#This Row],[Augen]]&lt;=60),Games[[#This Row],[Grundwert]]="Ramsch",Games[[#This Row],[Grundwert]]="Null")</f>
        <v>1</v>
      </c>
    </row>
    <row r="208" spans="1:13" x14ac:dyDescent="0.25">
      <c r="A208" s="15">
        <v>43380</v>
      </c>
      <c r="B208" s="14">
        <v>1</v>
      </c>
      <c r="C208" s="25">
        <v>11</v>
      </c>
      <c r="D208" s="25" t="s">
        <v>6</v>
      </c>
      <c r="E208" s="25">
        <v>1</v>
      </c>
      <c r="F208" s="25"/>
      <c r="G208" s="25" t="s">
        <v>9</v>
      </c>
      <c r="H208" s="25" t="s">
        <v>12</v>
      </c>
      <c r="I208">
        <v>60</v>
      </c>
      <c r="J208" s="25"/>
      <c r="M208" t="b">
        <f>OR(AND(Games[[#This Row],[Status]]="G",Games[[#This Row],[Augen]]&gt;60),AND(Games[[#This Row],[Status]]="V",Games[[#This Row],[Augen]]&lt;=60),Games[[#This Row],[Grundwert]]="Ramsch",Games[[#This Row],[Grundwert]]="Null")</f>
        <v>1</v>
      </c>
    </row>
    <row r="209" spans="1:13" x14ac:dyDescent="0.25">
      <c r="A209" s="15">
        <v>43380</v>
      </c>
      <c r="B209" s="14">
        <v>1</v>
      </c>
      <c r="C209" s="25">
        <v>12</v>
      </c>
      <c r="D209" s="25" t="s">
        <v>15</v>
      </c>
      <c r="E209" s="25"/>
      <c r="F209" s="25"/>
      <c r="G209" s="25" t="s">
        <v>9</v>
      </c>
      <c r="H209" s="25" t="s">
        <v>12</v>
      </c>
      <c r="J209" s="25" t="s">
        <v>56</v>
      </c>
      <c r="M209" t="b">
        <f>OR(AND(Games[[#This Row],[Status]]="G",Games[[#This Row],[Augen]]&gt;60),AND(Games[[#This Row],[Status]]="V",Games[[#This Row],[Augen]]&lt;=60),Games[[#This Row],[Grundwert]]="Ramsch",Games[[#This Row],[Grundwert]]="Null")</f>
        <v>1</v>
      </c>
    </row>
    <row r="210" spans="1:13" x14ac:dyDescent="0.25">
      <c r="A210" s="15">
        <v>43380</v>
      </c>
      <c r="B210" s="14">
        <v>1</v>
      </c>
      <c r="C210" s="25">
        <v>13</v>
      </c>
      <c r="D210" s="25" t="s">
        <v>14</v>
      </c>
      <c r="E210" s="25">
        <v>-1</v>
      </c>
      <c r="F210" s="25"/>
      <c r="G210" s="25" t="s">
        <v>9</v>
      </c>
      <c r="H210" s="25" t="s">
        <v>7</v>
      </c>
      <c r="I210">
        <v>71</v>
      </c>
      <c r="J210" s="25" t="s">
        <v>56</v>
      </c>
      <c r="M210" t="b">
        <f>OR(AND(Games[[#This Row],[Status]]="G",Games[[#This Row],[Augen]]&gt;60),AND(Games[[#This Row],[Status]]="V",Games[[#This Row],[Augen]]&lt;=60),Games[[#This Row],[Grundwert]]="Ramsch",Games[[#This Row],[Grundwert]]="Null")</f>
        <v>1</v>
      </c>
    </row>
    <row r="211" spans="1:13" x14ac:dyDescent="0.25">
      <c r="A211" s="15">
        <v>43380</v>
      </c>
      <c r="B211" s="14">
        <v>1</v>
      </c>
      <c r="C211" s="25">
        <v>14</v>
      </c>
      <c r="D211" s="25" t="s">
        <v>14</v>
      </c>
      <c r="E211" s="25">
        <v>-1</v>
      </c>
      <c r="F211" s="25"/>
      <c r="G211" s="25" t="s">
        <v>9</v>
      </c>
      <c r="H211" s="25" t="s">
        <v>12</v>
      </c>
      <c r="I211">
        <v>50</v>
      </c>
      <c r="J211" s="25" t="s">
        <v>56</v>
      </c>
      <c r="M211" t="b">
        <f>OR(AND(Games[[#This Row],[Status]]="G",Games[[#This Row],[Augen]]&gt;60),AND(Games[[#This Row],[Status]]="V",Games[[#This Row],[Augen]]&lt;=60),Games[[#This Row],[Grundwert]]="Ramsch",Games[[#This Row],[Grundwert]]="Null")</f>
        <v>1</v>
      </c>
    </row>
    <row r="212" spans="1:13" x14ac:dyDescent="0.25">
      <c r="A212" s="15">
        <v>43380</v>
      </c>
      <c r="B212" s="14">
        <v>1</v>
      </c>
      <c r="C212" s="25">
        <v>15</v>
      </c>
      <c r="D212" s="25" t="s">
        <v>6</v>
      </c>
      <c r="E212" s="25">
        <v>2</v>
      </c>
      <c r="F212" s="25" t="s">
        <v>19</v>
      </c>
      <c r="G212" s="25" t="s">
        <v>9</v>
      </c>
      <c r="H212" s="25" t="s">
        <v>7</v>
      </c>
      <c r="I212">
        <v>102</v>
      </c>
      <c r="J212" s="25"/>
      <c r="M212" t="b">
        <f>OR(AND(Games[[#This Row],[Status]]="G",Games[[#This Row],[Augen]]&gt;60),AND(Games[[#This Row],[Status]]="V",Games[[#This Row],[Augen]]&lt;=60),Games[[#This Row],[Grundwert]]="Ramsch",Games[[#This Row],[Grundwert]]="Null")</f>
        <v>1</v>
      </c>
    </row>
    <row r="213" spans="1:13" x14ac:dyDescent="0.25">
      <c r="A213" s="15">
        <v>43380</v>
      </c>
      <c r="B213" s="14">
        <v>1</v>
      </c>
      <c r="C213" s="25">
        <v>16</v>
      </c>
      <c r="D213" s="25" t="s">
        <v>6</v>
      </c>
      <c r="E213" s="25">
        <v>-1</v>
      </c>
      <c r="F213" s="25"/>
      <c r="G213" s="25" t="s">
        <v>5</v>
      </c>
      <c r="H213" s="25" t="s">
        <v>7</v>
      </c>
      <c r="I213">
        <v>71</v>
      </c>
      <c r="J213" s="25"/>
      <c r="M213" t="b">
        <f>OR(AND(Games[[#This Row],[Status]]="G",Games[[#This Row],[Augen]]&gt;60),AND(Games[[#This Row],[Status]]="V",Games[[#This Row],[Augen]]&lt;=60),Games[[#This Row],[Grundwert]]="Ramsch",Games[[#This Row],[Grundwert]]="Null")</f>
        <v>1</v>
      </c>
    </row>
    <row r="214" spans="1:13" x14ac:dyDescent="0.25">
      <c r="A214" s="15">
        <v>43380</v>
      </c>
      <c r="B214" s="14">
        <v>1</v>
      </c>
      <c r="C214" s="25">
        <v>17</v>
      </c>
      <c r="D214" s="25" t="s">
        <v>16</v>
      </c>
      <c r="E214" s="25">
        <v>-3</v>
      </c>
      <c r="F214" s="25"/>
      <c r="G214" s="25" t="s">
        <v>9</v>
      </c>
      <c r="H214" s="25" t="s">
        <v>7</v>
      </c>
      <c r="I214">
        <v>81</v>
      </c>
      <c r="J214" s="25"/>
      <c r="M214" t="b">
        <f>OR(AND(Games[[#This Row],[Status]]="G",Games[[#This Row],[Augen]]&gt;60),AND(Games[[#This Row],[Status]]="V",Games[[#This Row],[Augen]]&lt;=60),Games[[#This Row],[Grundwert]]="Ramsch",Games[[#This Row],[Grundwert]]="Null")</f>
        <v>1</v>
      </c>
    </row>
    <row r="215" spans="1:13" x14ac:dyDescent="0.25">
      <c r="A215" s="15">
        <v>43380</v>
      </c>
      <c r="B215" s="14">
        <v>1</v>
      </c>
      <c r="C215" s="25">
        <v>18</v>
      </c>
      <c r="D215" s="25" t="s">
        <v>15</v>
      </c>
      <c r="E215" s="25"/>
      <c r="F215" s="25"/>
      <c r="G215" s="25" t="s">
        <v>5</v>
      </c>
      <c r="H215" s="25" t="s">
        <v>12</v>
      </c>
      <c r="J215" s="25"/>
      <c r="M215" t="b">
        <f>OR(AND(Games[[#This Row],[Status]]="G",Games[[#This Row],[Augen]]&gt;60),AND(Games[[#This Row],[Status]]="V",Games[[#This Row],[Augen]]&lt;=60),Games[[#This Row],[Grundwert]]="Ramsch",Games[[#This Row],[Grundwert]]="Null")</f>
        <v>1</v>
      </c>
    </row>
    <row r="216" spans="1:13" x14ac:dyDescent="0.25">
      <c r="A216" s="15">
        <v>43380</v>
      </c>
      <c r="B216" s="14">
        <v>1</v>
      </c>
      <c r="C216" s="25">
        <v>19</v>
      </c>
      <c r="D216" s="25" t="s">
        <v>11</v>
      </c>
      <c r="E216" s="25">
        <v>-1</v>
      </c>
      <c r="F216" s="25" t="s">
        <v>19</v>
      </c>
      <c r="G216" s="25" t="s">
        <v>5</v>
      </c>
      <c r="H216" s="25" t="s">
        <v>12</v>
      </c>
      <c r="I216">
        <v>28</v>
      </c>
      <c r="J216" s="25"/>
      <c r="M216" t="b">
        <f>OR(AND(Games[[#This Row],[Status]]="G",Games[[#This Row],[Augen]]&gt;60),AND(Games[[#This Row],[Status]]="V",Games[[#This Row],[Augen]]&lt;=60),Games[[#This Row],[Grundwert]]="Ramsch",Games[[#This Row],[Grundwert]]="Null")</f>
        <v>1</v>
      </c>
    </row>
    <row r="217" spans="1:13" x14ac:dyDescent="0.25">
      <c r="A217" s="15">
        <v>43380</v>
      </c>
      <c r="B217" s="14">
        <v>1</v>
      </c>
      <c r="C217" s="25">
        <v>20</v>
      </c>
      <c r="D217" s="25" t="s">
        <v>11</v>
      </c>
      <c r="E217" s="25">
        <v>2</v>
      </c>
      <c r="F217" s="25"/>
      <c r="G217" s="25" t="s">
        <v>5</v>
      </c>
      <c r="H217" s="25" t="s">
        <v>7</v>
      </c>
      <c r="I217">
        <v>73</v>
      </c>
      <c r="J217" s="25" t="s">
        <v>56</v>
      </c>
      <c r="M217" t="b">
        <f>OR(AND(Games[[#This Row],[Status]]="G",Games[[#This Row],[Augen]]&gt;60),AND(Games[[#This Row],[Status]]="V",Games[[#This Row],[Augen]]&lt;=60),Games[[#This Row],[Grundwert]]="Ramsch",Games[[#This Row],[Grundwert]]="Null")</f>
        <v>1</v>
      </c>
    </row>
    <row r="218" spans="1:13" x14ac:dyDescent="0.25">
      <c r="A218" s="15">
        <v>43380</v>
      </c>
      <c r="B218" s="14">
        <v>1</v>
      </c>
      <c r="C218" s="25">
        <v>21</v>
      </c>
      <c r="D218" s="25" t="s">
        <v>10</v>
      </c>
      <c r="E218" s="25">
        <v>-1</v>
      </c>
      <c r="F218" s="25"/>
      <c r="G218" s="25" t="s">
        <v>13</v>
      </c>
      <c r="H218" s="25" t="s">
        <v>7</v>
      </c>
      <c r="I218">
        <v>81</v>
      </c>
      <c r="J218" s="25" t="s">
        <v>56</v>
      </c>
      <c r="M218" t="b">
        <f>OR(AND(Games[[#This Row],[Status]]="G",Games[[#This Row],[Augen]]&gt;60),AND(Games[[#This Row],[Status]]="V",Games[[#This Row],[Augen]]&lt;=60),Games[[#This Row],[Grundwert]]="Ramsch",Games[[#This Row],[Grundwert]]="Null")</f>
        <v>1</v>
      </c>
    </row>
    <row r="219" spans="1:13" x14ac:dyDescent="0.25">
      <c r="A219" s="15">
        <v>43380</v>
      </c>
      <c r="B219" s="14">
        <v>1</v>
      </c>
      <c r="C219" s="25">
        <v>22</v>
      </c>
      <c r="D219" s="25" t="s">
        <v>14</v>
      </c>
      <c r="E219" s="25">
        <v>-3</v>
      </c>
      <c r="F219" s="25"/>
      <c r="G219" s="25" t="s">
        <v>9</v>
      </c>
      <c r="H219" s="25" t="s">
        <v>7</v>
      </c>
      <c r="I219">
        <v>69</v>
      </c>
      <c r="J219" s="25" t="s">
        <v>56</v>
      </c>
      <c r="M219" t="b">
        <f>OR(AND(Games[[#This Row],[Status]]="G",Games[[#This Row],[Augen]]&gt;60),AND(Games[[#This Row],[Status]]="V",Games[[#This Row],[Augen]]&lt;=60),Games[[#This Row],[Grundwert]]="Ramsch",Games[[#This Row],[Grundwert]]="Null")</f>
        <v>1</v>
      </c>
    </row>
    <row r="220" spans="1:13" x14ac:dyDescent="0.25">
      <c r="A220" s="15">
        <v>43380</v>
      </c>
      <c r="B220" s="14">
        <v>1</v>
      </c>
      <c r="C220" s="25">
        <v>23</v>
      </c>
      <c r="D220" s="25" t="s">
        <v>14</v>
      </c>
      <c r="E220" s="25">
        <v>-1</v>
      </c>
      <c r="F220" s="25" t="s">
        <v>19</v>
      </c>
      <c r="G220" s="25" t="s">
        <v>9</v>
      </c>
      <c r="H220" s="25" t="s">
        <v>7</v>
      </c>
      <c r="I220">
        <v>96</v>
      </c>
      <c r="J220" s="25"/>
      <c r="M220" t="b">
        <f>OR(AND(Games[[#This Row],[Status]]="G",Games[[#This Row],[Augen]]&gt;60),AND(Games[[#This Row],[Status]]="V",Games[[#This Row],[Augen]]&lt;=60),Games[[#This Row],[Grundwert]]="Ramsch",Games[[#This Row],[Grundwert]]="Null")</f>
        <v>1</v>
      </c>
    </row>
    <row r="221" spans="1:13" x14ac:dyDescent="0.25">
      <c r="A221" s="15">
        <v>43380</v>
      </c>
      <c r="B221" s="14">
        <v>1</v>
      </c>
      <c r="C221" s="25">
        <v>24</v>
      </c>
      <c r="D221" s="25" t="s">
        <v>6</v>
      </c>
      <c r="E221" s="25">
        <v>1</v>
      </c>
      <c r="F221" s="25" t="s">
        <v>19</v>
      </c>
      <c r="G221" s="25" t="s">
        <v>13</v>
      </c>
      <c r="H221" s="25" t="s">
        <v>7</v>
      </c>
      <c r="I221">
        <v>99</v>
      </c>
      <c r="J221" s="25"/>
      <c r="M221" t="b">
        <f>OR(AND(Games[[#This Row],[Status]]="G",Games[[#This Row],[Augen]]&gt;60),AND(Games[[#This Row],[Status]]="V",Games[[#This Row],[Augen]]&lt;=60),Games[[#This Row],[Grundwert]]="Ramsch",Games[[#This Row],[Grundwert]]="Null")</f>
        <v>1</v>
      </c>
    </row>
    <row r="222" spans="1:13" x14ac:dyDescent="0.25">
      <c r="A222" s="15">
        <v>43380</v>
      </c>
      <c r="B222" s="14">
        <v>1</v>
      </c>
      <c r="C222" s="25">
        <v>25</v>
      </c>
      <c r="D222" s="25" t="s">
        <v>10</v>
      </c>
      <c r="E222" s="25">
        <v>3</v>
      </c>
      <c r="F222" s="25"/>
      <c r="G222" s="25" t="s">
        <v>9</v>
      </c>
      <c r="H222" s="25" t="s">
        <v>7</v>
      </c>
      <c r="I222">
        <v>88</v>
      </c>
      <c r="J222" s="25"/>
      <c r="M222" t="b">
        <f>OR(AND(Games[[#This Row],[Status]]="G",Games[[#This Row],[Augen]]&gt;60),AND(Games[[#This Row],[Status]]="V",Games[[#This Row],[Augen]]&lt;=60),Games[[#This Row],[Grundwert]]="Ramsch",Games[[#This Row],[Grundwert]]="Null")</f>
        <v>1</v>
      </c>
    </row>
    <row r="223" spans="1:13" x14ac:dyDescent="0.25">
      <c r="A223" s="15">
        <v>43380</v>
      </c>
      <c r="B223" s="14">
        <v>1</v>
      </c>
      <c r="C223" s="25">
        <v>26</v>
      </c>
      <c r="D223" s="25" t="s">
        <v>15</v>
      </c>
      <c r="E223" s="25"/>
      <c r="F223" s="25"/>
      <c r="G223" s="25" t="s">
        <v>13</v>
      </c>
      <c r="H223" s="25" t="s">
        <v>12</v>
      </c>
      <c r="J223" s="25"/>
      <c r="M223" t="b">
        <f>OR(AND(Games[[#This Row],[Status]]="G",Games[[#This Row],[Augen]]&gt;60),AND(Games[[#This Row],[Status]]="V",Games[[#This Row],[Augen]]&lt;=60),Games[[#This Row],[Grundwert]]="Ramsch",Games[[#This Row],[Grundwert]]="Null")</f>
        <v>1</v>
      </c>
    </row>
    <row r="224" spans="1:13" x14ac:dyDescent="0.25">
      <c r="A224" s="15">
        <v>43380</v>
      </c>
      <c r="B224" s="14">
        <v>1</v>
      </c>
      <c r="C224" s="25">
        <v>27</v>
      </c>
      <c r="D224" s="25" t="s">
        <v>11</v>
      </c>
      <c r="E224" s="25">
        <v>1</v>
      </c>
      <c r="F224" s="25"/>
      <c r="G224" s="25" t="s">
        <v>13</v>
      </c>
      <c r="H224" s="25" t="s">
        <v>12</v>
      </c>
      <c r="I224">
        <v>55</v>
      </c>
      <c r="J224" s="25"/>
      <c r="M224" t="b">
        <f>OR(AND(Games[[#This Row],[Status]]="G",Games[[#This Row],[Augen]]&gt;60),AND(Games[[#This Row],[Status]]="V",Games[[#This Row],[Augen]]&lt;=60),Games[[#This Row],[Grundwert]]="Ramsch",Games[[#This Row],[Grundwert]]="Null")</f>
        <v>1</v>
      </c>
    </row>
    <row r="225" spans="1:13" x14ac:dyDescent="0.25">
      <c r="A225" s="15">
        <v>43380</v>
      </c>
      <c r="B225" s="14">
        <v>1</v>
      </c>
      <c r="C225" s="25">
        <v>28</v>
      </c>
      <c r="D225" s="25" t="s">
        <v>11</v>
      </c>
      <c r="E225" s="25">
        <v>-2</v>
      </c>
      <c r="F225" s="25"/>
      <c r="G225" s="25" t="s">
        <v>13</v>
      </c>
      <c r="H225" s="25" t="s">
        <v>12</v>
      </c>
      <c r="I225">
        <v>49</v>
      </c>
      <c r="J225" s="25"/>
      <c r="M225" t="b">
        <f>OR(AND(Games[[#This Row],[Status]]="G",Games[[#This Row],[Augen]]&gt;60),AND(Games[[#This Row],[Status]]="V",Games[[#This Row],[Augen]]&lt;=60),Games[[#This Row],[Grundwert]]="Ramsch",Games[[#This Row],[Grundwert]]="Null")</f>
        <v>1</v>
      </c>
    </row>
    <row r="226" spans="1:13" x14ac:dyDescent="0.25">
      <c r="A226" s="15">
        <v>43380</v>
      </c>
      <c r="B226" s="14">
        <v>1</v>
      </c>
      <c r="C226" s="25">
        <v>29</v>
      </c>
      <c r="D226" s="25" t="s">
        <v>16</v>
      </c>
      <c r="E226" s="25">
        <v>-1</v>
      </c>
      <c r="F226" s="25"/>
      <c r="G226" s="25" t="s">
        <v>5</v>
      </c>
      <c r="H226" s="25" t="s">
        <v>7</v>
      </c>
      <c r="I226">
        <v>85</v>
      </c>
      <c r="J226" s="25"/>
      <c r="M226" t="b">
        <f>OR(AND(Games[[#This Row],[Status]]="G",Games[[#This Row],[Augen]]&gt;60),AND(Games[[#This Row],[Status]]="V",Games[[#This Row],[Augen]]&lt;=60),Games[[#This Row],[Grundwert]]="Ramsch",Games[[#This Row],[Grundwert]]="Null")</f>
        <v>1</v>
      </c>
    </row>
    <row r="227" spans="1:13" x14ac:dyDescent="0.25">
      <c r="A227" s="15">
        <v>43380</v>
      </c>
      <c r="B227" s="14">
        <v>1</v>
      </c>
      <c r="C227" s="25">
        <v>30</v>
      </c>
      <c r="D227" s="25" t="s">
        <v>6</v>
      </c>
      <c r="E227" s="25">
        <v>-1</v>
      </c>
      <c r="F227" s="25"/>
      <c r="G227" s="25" t="s">
        <v>5</v>
      </c>
      <c r="H227" s="25" t="s">
        <v>7</v>
      </c>
      <c r="I227">
        <v>81</v>
      </c>
      <c r="J227" s="25"/>
      <c r="M227" t="b">
        <f>OR(AND(Games[[#This Row],[Status]]="G",Games[[#This Row],[Augen]]&gt;60),AND(Games[[#This Row],[Status]]="V",Games[[#This Row],[Augen]]&lt;=60),Games[[#This Row],[Grundwert]]="Ramsch",Games[[#This Row],[Grundwert]]="Null")</f>
        <v>1</v>
      </c>
    </row>
    <row r="228" spans="1:13" x14ac:dyDescent="0.25">
      <c r="A228" s="15">
        <v>43380</v>
      </c>
      <c r="B228" s="14">
        <v>1</v>
      </c>
      <c r="C228" s="25">
        <v>31</v>
      </c>
      <c r="D228" s="25" t="s">
        <v>11</v>
      </c>
      <c r="E228" s="25">
        <v>3</v>
      </c>
      <c r="F228" s="25" t="s">
        <v>19</v>
      </c>
      <c r="G228" s="25" t="s">
        <v>9</v>
      </c>
      <c r="H228" s="25" t="s">
        <v>7</v>
      </c>
      <c r="I228">
        <v>96</v>
      </c>
      <c r="J228" s="25"/>
      <c r="M228" t="b">
        <f>OR(AND(Games[[#This Row],[Status]]="G",Games[[#This Row],[Augen]]&gt;60),AND(Games[[#This Row],[Status]]="V",Games[[#This Row],[Augen]]&lt;=60),Games[[#This Row],[Grundwert]]="Ramsch",Games[[#This Row],[Grundwert]]="Null")</f>
        <v>1</v>
      </c>
    </row>
    <row r="229" spans="1:13" x14ac:dyDescent="0.25">
      <c r="A229" s="15">
        <v>43380</v>
      </c>
      <c r="B229" s="14">
        <v>1</v>
      </c>
      <c r="C229" s="25">
        <v>32</v>
      </c>
      <c r="D229" s="25" t="s">
        <v>10</v>
      </c>
      <c r="E229" s="25">
        <v>4</v>
      </c>
      <c r="F229" s="25"/>
      <c r="G229" s="25" t="s">
        <v>5</v>
      </c>
      <c r="H229" s="25" t="s">
        <v>7</v>
      </c>
      <c r="I229">
        <v>77</v>
      </c>
      <c r="J229" s="25"/>
      <c r="M229" t="b">
        <f>OR(AND(Games[[#This Row],[Status]]="G",Games[[#This Row],[Augen]]&gt;60),AND(Games[[#This Row],[Status]]="V",Games[[#This Row],[Augen]]&lt;=60),Games[[#This Row],[Grundwert]]="Ramsch",Games[[#This Row],[Grundwert]]="Null")</f>
        <v>1</v>
      </c>
    </row>
    <row r="230" spans="1:13" x14ac:dyDescent="0.25">
      <c r="A230" s="15">
        <v>43380</v>
      </c>
      <c r="B230" s="14">
        <v>1</v>
      </c>
      <c r="C230" s="25">
        <v>33</v>
      </c>
      <c r="D230" s="25" t="s">
        <v>6</v>
      </c>
      <c r="E230" s="25">
        <v>2</v>
      </c>
      <c r="F230" s="25"/>
      <c r="G230" s="25" t="s">
        <v>5</v>
      </c>
      <c r="H230" s="25" t="s">
        <v>7</v>
      </c>
      <c r="I230">
        <v>85</v>
      </c>
      <c r="J230" s="25"/>
      <c r="M230" t="b">
        <f>OR(AND(Games[[#This Row],[Status]]="G",Games[[#This Row],[Augen]]&gt;60),AND(Games[[#This Row],[Status]]="V",Games[[#This Row],[Augen]]&lt;=60),Games[[#This Row],[Grundwert]]="Ramsch",Games[[#This Row],[Grundwert]]="Null")</f>
        <v>1</v>
      </c>
    </row>
    <row r="231" spans="1:13" x14ac:dyDescent="0.25">
      <c r="A231" s="15">
        <v>43380</v>
      </c>
      <c r="B231" s="14">
        <v>1</v>
      </c>
      <c r="C231" s="25">
        <v>34</v>
      </c>
      <c r="D231" s="25" t="s">
        <v>11</v>
      </c>
      <c r="E231" s="25">
        <v>-2</v>
      </c>
      <c r="F231" s="25"/>
      <c r="G231" s="25" t="s">
        <v>5</v>
      </c>
      <c r="H231" s="25" t="s">
        <v>12</v>
      </c>
      <c r="I231">
        <v>60</v>
      </c>
      <c r="J231" s="25"/>
      <c r="M231" t="b">
        <f>OR(AND(Games[[#This Row],[Status]]="G",Games[[#This Row],[Augen]]&gt;60),AND(Games[[#This Row],[Status]]="V",Games[[#This Row],[Augen]]&lt;=60),Games[[#This Row],[Grundwert]]="Ramsch",Games[[#This Row],[Grundwert]]="Null")</f>
        <v>1</v>
      </c>
    </row>
    <row r="232" spans="1:13" x14ac:dyDescent="0.25">
      <c r="A232" s="15">
        <v>43380</v>
      </c>
      <c r="B232" s="14">
        <v>1</v>
      </c>
      <c r="C232" s="25">
        <v>35</v>
      </c>
      <c r="D232" s="25" t="s">
        <v>11</v>
      </c>
      <c r="E232" s="25">
        <v>1</v>
      </c>
      <c r="F232" s="25"/>
      <c r="G232" s="25" t="s">
        <v>9</v>
      </c>
      <c r="H232" s="25" t="s">
        <v>7</v>
      </c>
      <c r="I232">
        <v>87</v>
      </c>
      <c r="J232" s="25" t="s">
        <v>56</v>
      </c>
      <c r="M232" t="b">
        <f>OR(AND(Games[[#This Row],[Status]]="G",Games[[#This Row],[Augen]]&gt;60),AND(Games[[#This Row],[Status]]="V",Games[[#This Row],[Augen]]&lt;=60),Games[[#This Row],[Grundwert]]="Ramsch",Games[[#This Row],[Grundwert]]="Null")</f>
        <v>1</v>
      </c>
    </row>
    <row r="233" spans="1:13" x14ac:dyDescent="0.25">
      <c r="A233" s="15">
        <v>43380</v>
      </c>
      <c r="B233" s="14">
        <v>1</v>
      </c>
      <c r="C233" s="25">
        <v>36</v>
      </c>
      <c r="D233" s="25" t="s">
        <v>17</v>
      </c>
      <c r="E233" s="25"/>
      <c r="F233" s="25"/>
      <c r="G233" s="25" t="s">
        <v>9</v>
      </c>
      <c r="H233" s="25" t="s">
        <v>12</v>
      </c>
      <c r="I233">
        <v>72</v>
      </c>
      <c r="J233" s="25" t="s">
        <v>56</v>
      </c>
      <c r="M233" t="b">
        <f>OR(AND(Games[[#This Row],[Status]]="G",Games[[#This Row],[Augen]]&gt;60),AND(Games[[#This Row],[Status]]="V",Games[[#This Row],[Augen]]&lt;=60),Games[[#This Row],[Grundwert]]="Ramsch",Games[[#This Row],[Grundwert]]="Null")</f>
        <v>1</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7" tint="0.79998168889431442"/>
  </sheetPr>
  <dimension ref="C1:S77"/>
  <sheetViews>
    <sheetView showGridLines="0" workbookViewId="0">
      <pane xSplit="2" ySplit="4" topLeftCell="C29" activePane="bottomRight" state="frozen"/>
      <selection activeCell="K43" sqref="K43"/>
      <selection pane="topRight" activeCell="K43" sqref="K43"/>
      <selection pane="bottomLeft" activeCell="K43" sqref="K43"/>
      <selection pane="bottomRight" activeCell="Q40" sqref="Q40"/>
    </sheetView>
  </sheetViews>
  <sheetFormatPr defaultRowHeight="15" x14ac:dyDescent="0.25"/>
  <cols>
    <col min="1" max="1" width="28.85546875" customWidth="1"/>
    <col min="2" max="2" width="2.140625" customWidth="1"/>
    <col min="3" max="3" width="11.5703125" customWidth="1"/>
    <col min="4" max="4" width="4.42578125" customWidth="1"/>
    <col min="5" max="5" width="4.5703125" customWidth="1"/>
    <col min="6" max="6" width="11.5703125" customWidth="1"/>
    <col min="7" max="7" width="7.85546875" customWidth="1"/>
    <col min="8" max="8" width="9.5703125" customWidth="1"/>
    <col min="9" max="9" width="5.5703125" customWidth="1"/>
    <col min="10" max="10" width="12.42578125" customWidth="1"/>
    <col min="11" max="11" width="4.85546875" customWidth="1"/>
    <col min="12" max="12" width="4.28515625" style="29" customWidth="1"/>
    <col min="13" max="13" width="4.7109375" bestFit="1" customWidth="1"/>
    <col min="14" max="14" width="9.28515625" hidden="1" customWidth="1"/>
    <col min="15" max="15" width="0" hidden="1" customWidth="1"/>
    <col min="16" max="16" width="4.7109375" hidden="1" customWidth="1"/>
    <col min="17" max="19" width="9.140625" style="19"/>
  </cols>
  <sheetData>
    <row r="1" spans="3:19" x14ac:dyDescent="0.25">
      <c r="N1" s="2" t="s">
        <v>35</v>
      </c>
      <c r="O1" t="s">
        <v>43</v>
      </c>
    </row>
    <row r="2" spans="3:19" x14ac:dyDescent="0.25">
      <c r="C2" s="2" t="s">
        <v>35</v>
      </c>
      <c r="D2" t="s">
        <v>43</v>
      </c>
    </row>
    <row r="3" spans="3:19" x14ac:dyDescent="0.25">
      <c r="N3" s="2" t="s">
        <v>41</v>
      </c>
      <c r="Q3" s="11" t="s">
        <v>3</v>
      </c>
      <c r="R3" s="25"/>
      <c r="S3" s="25"/>
    </row>
    <row r="4" spans="3:19" ht="66" x14ac:dyDescent="0.25">
      <c r="C4" s="26" t="s">
        <v>0</v>
      </c>
      <c r="D4" s="26" t="s">
        <v>36</v>
      </c>
      <c r="E4" s="26" t="s">
        <v>1</v>
      </c>
      <c r="F4" s="26" t="s">
        <v>3</v>
      </c>
      <c r="G4" s="26" t="s">
        <v>4</v>
      </c>
      <c r="H4" s="26" t="s">
        <v>2</v>
      </c>
      <c r="I4" s="26" t="s">
        <v>8</v>
      </c>
      <c r="J4" s="26" t="s">
        <v>24</v>
      </c>
      <c r="K4" s="26" t="s">
        <v>18</v>
      </c>
      <c r="L4" s="30" t="s">
        <v>42</v>
      </c>
      <c r="M4" s="27" t="s">
        <v>58</v>
      </c>
      <c r="N4" s="2" t="s">
        <v>0</v>
      </c>
      <c r="O4" s="2" t="s">
        <v>36</v>
      </c>
      <c r="P4" s="2" t="s">
        <v>1</v>
      </c>
      <c r="Q4" s="25" t="s">
        <v>13</v>
      </c>
      <c r="R4" s="25" t="s">
        <v>5</v>
      </c>
      <c r="S4" s="25" t="s">
        <v>9</v>
      </c>
    </row>
    <row r="5" spans="3:19" x14ac:dyDescent="0.25">
      <c r="C5" s="6">
        <v>43380</v>
      </c>
      <c r="D5">
        <v>1</v>
      </c>
      <c r="E5">
        <v>1</v>
      </c>
      <c r="F5" t="s">
        <v>13</v>
      </c>
      <c r="G5" t="s">
        <v>7</v>
      </c>
      <c r="H5" t="s">
        <v>10</v>
      </c>
      <c r="I5">
        <v>2</v>
      </c>
      <c r="J5" t="s">
        <v>19</v>
      </c>
      <c r="K5" t="s">
        <v>44</v>
      </c>
      <c r="L5" s="31">
        <v>1</v>
      </c>
      <c r="M5" s="1">
        <v>96</v>
      </c>
      <c r="N5" s="6">
        <v>43380</v>
      </c>
      <c r="O5">
        <v>1</v>
      </c>
      <c r="P5">
        <v>1</v>
      </c>
      <c r="Q5" s="28">
        <v>96</v>
      </c>
      <c r="R5" s="28">
        <v>0</v>
      </c>
      <c r="S5" s="28">
        <v>0</v>
      </c>
    </row>
    <row r="6" spans="3:19" x14ac:dyDescent="0.25">
      <c r="E6">
        <v>2</v>
      </c>
      <c r="F6" t="s">
        <v>5</v>
      </c>
      <c r="G6" t="s">
        <v>7</v>
      </c>
      <c r="H6" t="s">
        <v>16</v>
      </c>
      <c r="I6">
        <v>-1</v>
      </c>
      <c r="J6" t="s">
        <v>55</v>
      </c>
      <c r="K6" t="s">
        <v>44</v>
      </c>
      <c r="L6" s="31">
        <v>1</v>
      </c>
      <c r="M6" s="1">
        <v>20</v>
      </c>
      <c r="P6">
        <v>2</v>
      </c>
      <c r="Q6" s="28">
        <v>96</v>
      </c>
      <c r="R6" s="28">
        <v>20</v>
      </c>
      <c r="S6" s="28">
        <v>0</v>
      </c>
    </row>
    <row r="7" spans="3:19" x14ac:dyDescent="0.25">
      <c r="E7">
        <v>3</v>
      </c>
      <c r="F7" t="s">
        <v>9</v>
      </c>
      <c r="G7" t="s">
        <v>7</v>
      </c>
      <c r="H7" t="s">
        <v>10</v>
      </c>
      <c r="I7">
        <v>-1</v>
      </c>
      <c r="J7" t="s">
        <v>55</v>
      </c>
      <c r="K7" t="s">
        <v>44</v>
      </c>
      <c r="L7" s="31">
        <v>1</v>
      </c>
      <c r="M7" s="1">
        <v>48</v>
      </c>
      <c r="P7">
        <v>3</v>
      </c>
      <c r="Q7" s="28">
        <v>96</v>
      </c>
      <c r="R7" s="28">
        <v>20</v>
      </c>
      <c r="S7" s="28">
        <v>48</v>
      </c>
    </row>
    <row r="8" spans="3:19" x14ac:dyDescent="0.25">
      <c r="E8">
        <v>4</v>
      </c>
      <c r="F8" t="s">
        <v>5</v>
      </c>
      <c r="G8" t="s">
        <v>7</v>
      </c>
      <c r="H8" t="s">
        <v>6</v>
      </c>
      <c r="I8">
        <v>-2</v>
      </c>
      <c r="J8" t="s">
        <v>55</v>
      </c>
      <c r="K8" t="s">
        <v>44</v>
      </c>
      <c r="L8" s="31">
        <v>1</v>
      </c>
      <c r="M8" s="1">
        <v>36</v>
      </c>
      <c r="P8">
        <v>4</v>
      </c>
      <c r="Q8" s="28">
        <v>96</v>
      </c>
      <c r="R8" s="28">
        <v>56</v>
      </c>
      <c r="S8" s="28">
        <v>48</v>
      </c>
    </row>
    <row r="9" spans="3:19" x14ac:dyDescent="0.25">
      <c r="E9">
        <v>5</v>
      </c>
      <c r="F9" t="s">
        <v>13</v>
      </c>
      <c r="G9" t="s">
        <v>12</v>
      </c>
      <c r="H9" t="s">
        <v>11</v>
      </c>
      <c r="I9">
        <v>-1</v>
      </c>
      <c r="J9" t="s">
        <v>55</v>
      </c>
      <c r="K9" t="s">
        <v>44</v>
      </c>
      <c r="L9" s="31">
        <v>-2</v>
      </c>
      <c r="M9" s="1">
        <v>-44</v>
      </c>
      <c r="P9">
        <v>5</v>
      </c>
      <c r="Q9" s="28">
        <v>52</v>
      </c>
      <c r="R9" s="28">
        <v>56</v>
      </c>
      <c r="S9" s="28">
        <v>48</v>
      </c>
    </row>
    <row r="10" spans="3:19" x14ac:dyDescent="0.25">
      <c r="E10">
        <v>6</v>
      </c>
      <c r="F10" t="s">
        <v>9</v>
      </c>
      <c r="G10" t="s">
        <v>12</v>
      </c>
      <c r="H10" t="s">
        <v>11</v>
      </c>
      <c r="I10">
        <v>-1</v>
      </c>
      <c r="J10" t="s">
        <v>55</v>
      </c>
      <c r="K10" t="s">
        <v>44</v>
      </c>
      <c r="L10" s="31">
        <v>-2</v>
      </c>
      <c r="M10" s="1">
        <v>-44</v>
      </c>
      <c r="P10">
        <v>6</v>
      </c>
      <c r="Q10" s="28">
        <v>52</v>
      </c>
      <c r="R10" s="28">
        <v>56</v>
      </c>
      <c r="S10" s="28">
        <v>4</v>
      </c>
    </row>
    <row r="11" spans="3:19" x14ac:dyDescent="0.25">
      <c r="E11">
        <v>7</v>
      </c>
      <c r="F11" t="s">
        <v>9</v>
      </c>
      <c r="G11" t="s">
        <v>7</v>
      </c>
      <c r="H11" t="s">
        <v>10</v>
      </c>
      <c r="I11">
        <v>4</v>
      </c>
      <c r="J11" t="s">
        <v>55</v>
      </c>
      <c r="K11" t="s">
        <v>44</v>
      </c>
      <c r="L11" s="31">
        <v>1</v>
      </c>
      <c r="M11" s="1">
        <v>120</v>
      </c>
      <c r="P11">
        <v>7</v>
      </c>
      <c r="Q11" s="28">
        <v>52</v>
      </c>
      <c r="R11" s="28">
        <v>56</v>
      </c>
      <c r="S11" s="28">
        <v>124</v>
      </c>
    </row>
    <row r="12" spans="3:19" x14ac:dyDescent="0.25">
      <c r="E12">
        <v>8</v>
      </c>
      <c r="F12" t="s">
        <v>13</v>
      </c>
      <c r="G12" t="s">
        <v>7</v>
      </c>
      <c r="H12" t="s">
        <v>6</v>
      </c>
      <c r="I12">
        <v>4</v>
      </c>
      <c r="J12" t="s">
        <v>19</v>
      </c>
      <c r="K12" t="s">
        <v>44</v>
      </c>
      <c r="L12" s="31">
        <v>1</v>
      </c>
      <c r="M12" s="1">
        <v>72</v>
      </c>
      <c r="P12">
        <v>8</v>
      </c>
      <c r="Q12" s="28">
        <v>124</v>
      </c>
      <c r="R12" s="28">
        <v>56</v>
      </c>
      <c r="S12" s="28">
        <v>124</v>
      </c>
    </row>
    <row r="13" spans="3:19" x14ac:dyDescent="0.25">
      <c r="E13">
        <v>9</v>
      </c>
      <c r="F13" t="s">
        <v>9</v>
      </c>
      <c r="G13" t="s">
        <v>12</v>
      </c>
      <c r="H13" t="s">
        <v>11</v>
      </c>
      <c r="I13">
        <v>-1</v>
      </c>
      <c r="J13" t="s">
        <v>55</v>
      </c>
      <c r="K13" t="s">
        <v>44</v>
      </c>
      <c r="L13" s="31">
        <v>-2</v>
      </c>
      <c r="M13" s="1">
        <v>-44</v>
      </c>
      <c r="P13">
        <v>9</v>
      </c>
      <c r="Q13" s="28">
        <v>124</v>
      </c>
      <c r="R13" s="28">
        <v>56</v>
      </c>
      <c r="S13" s="28">
        <v>80</v>
      </c>
    </row>
    <row r="14" spans="3:19" x14ac:dyDescent="0.25">
      <c r="E14">
        <v>10</v>
      </c>
      <c r="F14" t="s">
        <v>5</v>
      </c>
      <c r="G14" t="s">
        <v>7</v>
      </c>
      <c r="H14" t="s">
        <v>11</v>
      </c>
      <c r="I14">
        <v>1</v>
      </c>
      <c r="J14" t="s">
        <v>55</v>
      </c>
      <c r="K14" t="s">
        <v>44</v>
      </c>
      <c r="L14" s="31">
        <v>1</v>
      </c>
      <c r="M14" s="1">
        <v>22</v>
      </c>
      <c r="P14">
        <v>10</v>
      </c>
      <c r="Q14" s="28">
        <v>124</v>
      </c>
      <c r="R14" s="28">
        <v>78</v>
      </c>
      <c r="S14" s="28">
        <v>80</v>
      </c>
    </row>
    <row r="15" spans="3:19" x14ac:dyDescent="0.25">
      <c r="E15">
        <v>11</v>
      </c>
      <c r="F15" t="s">
        <v>9</v>
      </c>
      <c r="G15" t="s">
        <v>12</v>
      </c>
      <c r="H15" t="s">
        <v>6</v>
      </c>
      <c r="I15">
        <v>1</v>
      </c>
      <c r="J15" t="s">
        <v>55</v>
      </c>
      <c r="K15" t="s">
        <v>44</v>
      </c>
      <c r="L15" s="31">
        <v>-2</v>
      </c>
      <c r="M15" s="1">
        <v>-48</v>
      </c>
      <c r="P15">
        <v>11</v>
      </c>
      <c r="Q15" s="28">
        <v>124</v>
      </c>
      <c r="R15" s="28">
        <v>78</v>
      </c>
      <c r="S15" s="28">
        <v>32</v>
      </c>
    </row>
    <row r="16" spans="3:19" x14ac:dyDescent="0.25">
      <c r="E16">
        <v>12</v>
      </c>
      <c r="F16" t="s">
        <v>9</v>
      </c>
      <c r="G16" t="s">
        <v>12</v>
      </c>
      <c r="H16" t="s">
        <v>15</v>
      </c>
      <c r="I16">
        <v>0</v>
      </c>
      <c r="J16" t="s">
        <v>55</v>
      </c>
      <c r="K16" t="s">
        <v>56</v>
      </c>
      <c r="L16" s="31">
        <v>-4</v>
      </c>
      <c r="M16" s="1">
        <v>-92</v>
      </c>
      <c r="P16">
        <v>12</v>
      </c>
      <c r="Q16" s="28">
        <v>124</v>
      </c>
      <c r="R16" s="28">
        <v>78</v>
      </c>
      <c r="S16" s="28">
        <v>-60</v>
      </c>
    </row>
    <row r="17" spans="5:19" x14ac:dyDescent="0.25">
      <c r="E17">
        <v>13</v>
      </c>
      <c r="F17" t="s">
        <v>9</v>
      </c>
      <c r="G17" t="s">
        <v>7</v>
      </c>
      <c r="H17" t="s">
        <v>14</v>
      </c>
      <c r="I17">
        <v>-1</v>
      </c>
      <c r="J17" t="s">
        <v>55</v>
      </c>
      <c r="K17" t="s">
        <v>56</v>
      </c>
      <c r="L17" s="31">
        <v>2</v>
      </c>
      <c r="M17" s="1">
        <v>36</v>
      </c>
      <c r="P17">
        <v>13</v>
      </c>
      <c r="Q17" s="28">
        <v>124</v>
      </c>
      <c r="R17" s="28">
        <v>78</v>
      </c>
      <c r="S17" s="28">
        <v>-24</v>
      </c>
    </row>
    <row r="18" spans="5:19" x14ac:dyDescent="0.25">
      <c r="E18">
        <v>14</v>
      </c>
      <c r="F18" t="s">
        <v>9</v>
      </c>
      <c r="G18" t="s">
        <v>12</v>
      </c>
      <c r="H18" t="s">
        <v>14</v>
      </c>
      <c r="I18">
        <v>-1</v>
      </c>
      <c r="J18" t="s">
        <v>55</v>
      </c>
      <c r="K18" t="s">
        <v>56</v>
      </c>
      <c r="L18" s="31">
        <v>-4</v>
      </c>
      <c r="M18" s="1">
        <v>-72</v>
      </c>
      <c r="P18">
        <v>14</v>
      </c>
      <c r="Q18" s="28">
        <v>124</v>
      </c>
      <c r="R18" s="28">
        <v>78</v>
      </c>
      <c r="S18" s="28">
        <v>-96</v>
      </c>
    </row>
    <row r="19" spans="5:19" x14ac:dyDescent="0.25">
      <c r="E19">
        <v>15</v>
      </c>
      <c r="F19" t="s">
        <v>9</v>
      </c>
      <c r="G19" t="s">
        <v>7</v>
      </c>
      <c r="H19" t="s">
        <v>6</v>
      </c>
      <c r="I19">
        <v>2</v>
      </c>
      <c r="J19" t="s">
        <v>19</v>
      </c>
      <c r="K19" t="s">
        <v>44</v>
      </c>
      <c r="L19" s="31">
        <v>1</v>
      </c>
      <c r="M19" s="1">
        <v>48</v>
      </c>
      <c r="P19">
        <v>15</v>
      </c>
      <c r="Q19" s="28">
        <v>124</v>
      </c>
      <c r="R19" s="28">
        <v>78</v>
      </c>
      <c r="S19" s="28">
        <v>-48</v>
      </c>
    </row>
    <row r="20" spans="5:19" x14ac:dyDescent="0.25">
      <c r="E20">
        <v>16</v>
      </c>
      <c r="F20" t="s">
        <v>5</v>
      </c>
      <c r="G20" t="s">
        <v>7</v>
      </c>
      <c r="H20" t="s">
        <v>6</v>
      </c>
      <c r="I20">
        <v>-1</v>
      </c>
      <c r="J20" t="s">
        <v>55</v>
      </c>
      <c r="K20" t="s">
        <v>44</v>
      </c>
      <c r="L20" s="31">
        <v>1</v>
      </c>
      <c r="M20" s="1">
        <v>24</v>
      </c>
      <c r="P20">
        <v>16</v>
      </c>
      <c r="Q20" s="28">
        <v>124</v>
      </c>
      <c r="R20" s="28">
        <v>102</v>
      </c>
      <c r="S20" s="28">
        <v>-48</v>
      </c>
    </row>
    <row r="21" spans="5:19" x14ac:dyDescent="0.25">
      <c r="E21">
        <v>17</v>
      </c>
      <c r="F21" t="s">
        <v>9</v>
      </c>
      <c r="G21" t="s">
        <v>7</v>
      </c>
      <c r="H21" t="s">
        <v>16</v>
      </c>
      <c r="I21">
        <v>-3</v>
      </c>
      <c r="J21" t="s">
        <v>55</v>
      </c>
      <c r="K21" t="s">
        <v>44</v>
      </c>
      <c r="L21" s="31">
        <v>1</v>
      </c>
      <c r="M21" s="1">
        <v>40</v>
      </c>
      <c r="P21">
        <v>17</v>
      </c>
      <c r="Q21" s="28">
        <v>124</v>
      </c>
      <c r="R21" s="28">
        <v>102</v>
      </c>
      <c r="S21" s="28">
        <v>-8</v>
      </c>
    </row>
    <row r="22" spans="5:19" x14ac:dyDescent="0.25">
      <c r="E22">
        <v>18</v>
      </c>
      <c r="F22" t="s">
        <v>5</v>
      </c>
      <c r="G22" t="s">
        <v>12</v>
      </c>
      <c r="H22" t="s">
        <v>15</v>
      </c>
      <c r="I22">
        <v>0</v>
      </c>
      <c r="J22" t="s">
        <v>55</v>
      </c>
      <c r="K22" t="s">
        <v>44</v>
      </c>
      <c r="L22" s="31">
        <v>-2</v>
      </c>
      <c r="M22" s="1">
        <v>-46</v>
      </c>
      <c r="P22">
        <v>18</v>
      </c>
      <c r="Q22" s="28">
        <v>124</v>
      </c>
      <c r="R22" s="28">
        <v>56</v>
      </c>
      <c r="S22" s="28">
        <v>-8</v>
      </c>
    </row>
    <row r="23" spans="5:19" x14ac:dyDescent="0.25">
      <c r="E23">
        <v>19</v>
      </c>
      <c r="F23" t="s">
        <v>5</v>
      </c>
      <c r="G23" t="s">
        <v>12</v>
      </c>
      <c r="H23" t="s">
        <v>11</v>
      </c>
      <c r="I23">
        <v>-1</v>
      </c>
      <c r="J23" t="s">
        <v>19</v>
      </c>
      <c r="K23" t="s">
        <v>44</v>
      </c>
      <c r="L23" s="31">
        <v>-2</v>
      </c>
      <c r="M23" s="1">
        <v>-66</v>
      </c>
      <c r="P23">
        <v>19</v>
      </c>
      <c r="Q23" s="28">
        <v>124</v>
      </c>
      <c r="R23" s="28">
        <v>-10</v>
      </c>
      <c r="S23" s="28">
        <v>-8</v>
      </c>
    </row>
    <row r="24" spans="5:19" x14ac:dyDescent="0.25">
      <c r="E24">
        <v>20</v>
      </c>
      <c r="F24" t="s">
        <v>5</v>
      </c>
      <c r="G24" t="s">
        <v>7</v>
      </c>
      <c r="H24" t="s">
        <v>11</v>
      </c>
      <c r="I24">
        <v>2</v>
      </c>
      <c r="J24" t="s">
        <v>55</v>
      </c>
      <c r="K24" t="s">
        <v>56</v>
      </c>
      <c r="L24" s="31">
        <v>2</v>
      </c>
      <c r="M24" s="1">
        <v>66</v>
      </c>
      <c r="P24">
        <v>20</v>
      </c>
      <c r="Q24" s="28">
        <v>124</v>
      </c>
      <c r="R24" s="28">
        <v>56</v>
      </c>
      <c r="S24" s="28">
        <v>-8</v>
      </c>
    </row>
    <row r="25" spans="5:19" x14ac:dyDescent="0.25">
      <c r="E25">
        <v>21</v>
      </c>
      <c r="F25" t="s">
        <v>13</v>
      </c>
      <c r="G25" t="s">
        <v>7</v>
      </c>
      <c r="H25" t="s">
        <v>10</v>
      </c>
      <c r="I25">
        <v>-1</v>
      </c>
      <c r="J25" t="s">
        <v>55</v>
      </c>
      <c r="K25" t="s">
        <v>56</v>
      </c>
      <c r="L25" s="31">
        <v>2</v>
      </c>
      <c r="M25" s="1">
        <v>96</v>
      </c>
      <c r="P25">
        <v>21</v>
      </c>
      <c r="Q25" s="28">
        <v>220</v>
      </c>
      <c r="R25" s="28">
        <v>56</v>
      </c>
      <c r="S25" s="28">
        <v>-8</v>
      </c>
    </row>
    <row r="26" spans="5:19" x14ac:dyDescent="0.25">
      <c r="E26">
        <v>22</v>
      </c>
      <c r="F26" t="s">
        <v>9</v>
      </c>
      <c r="G26" t="s">
        <v>7</v>
      </c>
      <c r="H26" t="s">
        <v>14</v>
      </c>
      <c r="I26">
        <v>-3</v>
      </c>
      <c r="J26" t="s">
        <v>55</v>
      </c>
      <c r="K26" t="s">
        <v>56</v>
      </c>
      <c r="L26" s="31">
        <v>2</v>
      </c>
      <c r="M26" s="1">
        <v>72</v>
      </c>
      <c r="P26">
        <v>22</v>
      </c>
      <c r="Q26" s="28">
        <v>220</v>
      </c>
      <c r="R26" s="28">
        <v>56</v>
      </c>
      <c r="S26" s="28">
        <v>64</v>
      </c>
    </row>
    <row r="27" spans="5:19" x14ac:dyDescent="0.25">
      <c r="E27">
        <v>23</v>
      </c>
      <c r="F27" t="s">
        <v>9</v>
      </c>
      <c r="G27" t="s">
        <v>7</v>
      </c>
      <c r="H27" t="s">
        <v>14</v>
      </c>
      <c r="I27">
        <v>-1</v>
      </c>
      <c r="J27" t="s">
        <v>19</v>
      </c>
      <c r="K27" t="s">
        <v>44</v>
      </c>
      <c r="L27" s="31">
        <v>1</v>
      </c>
      <c r="M27" s="1">
        <v>27</v>
      </c>
      <c r="P27">
        <v>23</v>
      </c>
      <c r="Q27" s="28">
        <v>220</v>
      </c>
      <c r="R27" s="28">
        <v>56</v>
      </c>
      <c r="S27" s="28">
        <v>91</v>
      </c>
    </row>
    <row r="28" spans="5:19" x14ac:dyDescent="0.25">
      <c r="E28">
        <v>24</v>
      </c>
      <c r="F28" t="s">
        <v>13</v>
      </c>
      <c r="G28" t="s">
        <v>7</v>
      </c>
      <c r="H28" t="s">
        <v>6</v>
      </c>
      <c r="I28">
        <v>1</v>
      </c>
      <c r="J28" t="s">
        <v>19</v>
      </c>
      <c r="K28" t="s">
        <v>44</v>
      </c>
      <c r="L28" s="31">
        <v>1</v>
      </c>
      <c r="M28" s="1">
        <v>36</v>
      </c>
      <c r="P28">
        <v>24</v>
      </c>
      <c r="Q28" s="28">
        <v>256</v>
      </c>
      <c r="R28" s="28">
        <v>56</v>
      </c>
      <c r="S28" s="28">
        <v>91</v>
      </c>
    </row>
    <row r="29" spans="5:19" x14ac:dyDescent="0.25">
      <c r="E29">
        <v>25</v>
      </c>
      <c r="F29" t="s">
        <v>9</v>
      </c>
      <c r="G29" t="s">
        <v>7</v>
      </c>
      <c r="H29" t="s">
        <v>10</v>
      </c>
      <c r="I29">
        <v>3</v>
      </c>
      <c r="J29" t="s">
        <v>55</v>
      </c>
      <c r="K29" t="s">
        <v>44</v>
      </c>
      <c r="L29" s="31">
        <v>1</v>
      </c>
      <c r="M29" s="1">
        <v>96</v>
      </c>
      <c r="P29">
        <v>25</v>
      </c>
      <c r="Q29" s="28">
        <v>256</v>
      </c>
      <c r="R29" s="28">
        <v>56</v>
      </c>
      <c r="S29" s="28">
        <v>187</v>
      </c>
    </row>
    <row r="30" spans="5:19" x14ac:dyDescent="0.25">
      <c r="E30">
        <v>26</v>
      </c>
      <c r="F30" t="s">
        <v>13</v>
      </c>
      <c r="G30" t="s">
        <v>12</v>
      </c>
      <c r="H30" t="s">
        <v>15</v>
      </c>
      <c r="I30">
        <v>0</v>
      </c>
      <c r="J30" t="s">
        <v>55</v>
      </c>
      <c r="K30" t="s">
        <v>44</v>
      </c>
      <c r="L30" s="31">
        <v>-2</v>
      </c>
      <c r="M30" s="1">
        <v>-46</v>
      </c>
      <c r="P30">
        <v>26</v>
      </c>
      <c r="Q30" s="28">
        <v>210</v>
      </c>
      <c r="R30" s="28">
        <v>56</v>
      </c>
      <c r="S30" s="28">
        <v>187</v>
      </c>
    </row>
    <row r="31" spans="5:19" x14ac:dyDescent="0.25">
      <c r="E31">
        <v>27</v>
      </c>
      <c r="F31" t="s">
        <v>13</v>
      </c>
      <c r="G31" t="s">
        <v>12</v>
      </c>
      <c r="H31" t="s">
        <v>11</v>
      </c>
      <c r="I31">
        <v>1</v>
      </c>
      <c r="J31" t="s">
        <v>55</v>
      </c>
      <c r="K31" t="s">
        <v>44</v>
      </c>
      <c r="L31" s="31">
        <v>-2</v>
      </c>
      <c r="M31" s="1">
        <v>-44</v>
      </c>
      <c r="P31">
        <v>27</v>
      </c>
      <c r="Q31" s="28">
        <v>166</v>
      </c>
      <c r="R31" s="28">
        <v>56</v>
      </c>
      <c r="S31" s="28">
        <v>187</v>
      </c>
    </row>
    <row r="32" spans="5:19" x14ac:dyDescent="0.25">
      <c r="E32">
        <v>28</v>
      </c>
      <c r="F32" t="s">
        <v>13</v>
      </c>
      <c r="G32" t="s">
        <v>12</v>
      </c>
      <c r="H32" t="s">
        <v>11</v>
      </c>
      <c r="I32">
        <v>-2</v>
      </c>
      <c r="J32" t="s">
        <v>55</v>
      </c>
      <c r="K32" t="s">
        <v>44</v>
      </c>
      <c r="L32" s="31">
        <v>-2</v>
      </c>
      <c r="M32" s="1">
        <v>-66</v>
      </c>
      <c r="P32">
        <v>28</v>
      </c>
      <c r="Q32" s="28">
        <v>100</v>
      </c>
      <c r="R32" s="28">
        <v>56</v>
      </c>
      <c r="S32" s="28">
        <v>187</v>
      </c>
    </row>
    <row r="33" spans="3:19" x14ac:dyDescent="0.25">
      <c r="E33">
        <v>29</v>
      </c>
      <c r="F33" t="s">
        <v>5</v>
      </c>
      <c r="G33" t="s">
        <v>7</v>
      </c>
      <c r="H33" t="s">
        <v>16</v>
      </c>
      <c r="I33">
        <v>-1</v>
      </c>
      <c r="J33" t="s">
        <v>55</v>
      </c>
      <c r="K33" t="s">
        <v>44</v>
      </c>
      <c r="L33" s="31">
        <v>1</v>
      </c>
      <c r="M33" s="1">
        <v>20</v>
      </c>
      <c r="P33">
        <v>29</v>
      </c>
      <c r="Q33" s="28">
        <v>100</v>
      </c>
      <c r="R33" s="28">
        <v>76</v>
      </c>
      <c r="S33" s="28">
        <v>187</v>
      </c>
    </row>
    <row r="34" spans="3:19" x14ac:dyDescent="0.25">
      <c r="E34">
        <v>30</v>
      </c>
      <c r="F34" t="s">
        <v>5</v>
      </c>
      <c r="G34" t="s">
        <v>7</v>
      </c>
      <c r="H34" t="s">
        <v>6</v>
      </c>
      <c r="I34">
        <v>-1</v>
      </c>
      <c r="J34" t="s">
        <v>55</v>
      </c>
      <c r="K34" t="s">
        <v>44</v>
      </c>
      <c r="L34" s="31">
        <v>1</v>
      </c>
      <c r="M34" s="1">
        <v>24</v>
      </c>
      <c r="P34">
        <v>30</v>
      </c>
      <c r="Q34" s="28">
        <v>100</v>
      </c>
      <c r="R34" s="28">
        <v>100</v>
      </c>
      <c r="S34" s="28">
        <v>187</v>
      </c>
    </row>
    <row r="35" spans="3:19" x14ac:dyDescent="0.25">
      <c r="E35">
        <v>31</v>
      </c>
      <c r="F35" t="s">
        <v>9</v>
      </c>
      <c r="G35" t="s">
        <v>7</v>
      </c>
      <c r="H35" t="s">
        <v>11</v>
      </c>
      <c r="I35">
        <v>3</v>
      </c>
      <c r="J35" t="s">
        <v>19</v>
      </c>
      <c r="K35" t="s">
        <v>44</v>
      </c>
      <c r="L35" s="31">
        <v>1</v>
      </c>
      <c r="M35" s="1">
        <v>55</v>
      </c>
      <c r="P35">
        <v>31</v>
      </c>
      <c r="Q35" s="28">
        <v>100</v>
      </c>
      <c r="R35" s="28">
        <v>100</v>
      </c>
      <c r="S35" s="28">
        <v>242</v>
      </c>
    </row>
    <row r="36" spans="3:19" x14ac:dyDescent="0.25">
      <c r="E36">
        <v>32</v>
      </c>
      <c r="F36" t="s">
        <v>5</v>
      </c>
      <c r="G36" t="s">
        <v>7</v>
      </c>
      <c r="H36" t="s">
        <v>10</v>
      </c>
      <c r="I36">
        <v>4</v>
      </c>
      <c r="J36" t="s">
        <v>55</v>
      </c>
      <c r="K36" t="s">
        <v>44</v>
      </c>
      <c r="L36" s="31">
        <v>1</v>
      </c>
      <c r="M36" s="1">
        <v>120</v>
      </c>
      <c r="P36">
        <v>32</v>
      </c>
      <c r="Q36" s="28">
        <v>100</v>
      </c>
      <c r="R36" s="28">
        <v>220</v>
      </c>
      <c r="S36" s="28">
        <v>242</v>
      </c>
    </row>
    <row r="37" spans="3:19" x14ac:dyDescent="0.25">
      <c r="E37">
        <v>33</v>
      </c>
      <c r="F37" t="s">
        <v>5</v>
      </c>
      <c r="G37" t="s">
        <v>7</v>
      </c>
      <c r="H37" t="s">
        <v>6</v>
      </c>
      <c r="I37">
        <v>2</v>
      </c>
      <c r="J37" t="s">
        <v>55</v>
      </c>
      <c r="K37" t="s">
        <v>44</v>
      </c>
      <c r="L37" s="31">
        <v>1</v>
      </c>
      <c r="M37" s="1">
        <v>36</v>
      </c>
      <c r="P37">
        <v>33</v>
      </c>
      <c r="Q37" s="28">
        <v>100</v>
      </c>
      <c r="R37" s="28">
        <v>256</v>
      </c>
      <c r="S37" s="28">
        <v>242</v>
      </c>
    </row>
    <row r="38" spans="3:19" x14ac:dyDescent="0.25">
      <c r="E38">
        <v>34</v>
      </c>
      <c r="F38" t="s">
        <v>5</v>
      </c>
      <c r="G38" t="s">
        <v>12</v>
      </c>
      <c r="H38" t="s">
        <v>11</v>
      </c>
      <c r="I38">
        <v>-2</v>
      </c>
      <c r="J38" t="s">
        <v>55</v>
      </c>
      <c r="K38" t="s">
        <v>44</v>
      </c>
      <c r="L38" s="31">
        <v>-2</v>
      </c>
      <c r="M38" s="1">
        <v>-66</v>
      </c>
      <c r="P38">
        <v>34</v>
      </c>
      <c r="Q38" s="28">
        <v>100</v>
      </c>
      <c r="R38" s="28">
        <v>190</v>
      </c>
      <c r="S38" s="28">
        <v>242</v>
      </c>
    </row>
    <row r="39" spans="3:19" x14ac:dyDescent="0.25">
      <c r="E39">
        <v>35</v>
      </c>
      <c r="F39" t="s">
        <v>9</v>
      </c>
      <c r="G39" t="s">
        <v>7</v>
      </c>
      <c r="H39" t="s">
        <v>11</v>
      </c>
      <c r="I39">
        <v>1</v>
      </c>
      <c r="J39" t="s">
        <v>55</v>
      </c>
      <c r="K39" t="s">
        <v>56</v>
      </c>
      <c r="L39" s="31">
        <v>2</v>
      </c>
      <c r="M39" s="1">
        <v>44</v>
      </c>
      <c r="P39">
        <v>35</v>
      </c>
      <c r="Q39" s="28">
        <v>100</v>
      </c>
      <c r="R39" s="28">
        <v>190</v>
      </c>
      <c r="S39" s="28">
        <v>286</v>
      </c>
    </row>
    <row r="40" spans="3:19" x14ac:dyDescent="0.25">
      <c r="E40">
        <v>36</v>
      </c>
      <c r="F40" t="s">
        <v>9</v>
      </c>
      <c r="G40" t="s">
        <v>12</v>
      </c>
      <c r="H40" t="s">
        <v>17</v>
      </c>
      <c r="I40">
        <v>0</v>
      </c>
      <c r="J40" t="s">
        <v>55</v>
      </c>
      <c r="K40" t="s">
        <v>56</v>
      </c>
      <c r="L40" s="31">
        <v>-2</v>
      </c>
      <c r="M40" s="1">
        <v>-144</v>
      </c>
      <c r="P40">
        <v>36</v>
      </c>
      <c r="Q40" s="28">
        <v>100</v>
      </c>
      <c r="R40" s="28">
        <v>190</v>
      </c>
      <c r="S40" s="28">
        <v>142</v>
      </c>
    </row>
    <row r="41" spans="3:19" x14ac:dyDescent="0.25">
      <c r="C41" t="s">
        <v>33</v>
      </c>
      <c r="L41" s="31">
        <v>-2</v>
      </c>
      <c r="M41" s="1">
        <v>432</v>
      </c>
      <c r="N41" t="s">
        <v>33</v>
      </c>
      <c r="Q41" s="28"/>
      <c r="R41" s="28"/>
      <c r="S41" s="28"/>
    </row>
    <row r="42" spans="3:19" x14ac:dyDescent="0.25">
      <c r="L42"/>
      <c r="Q42"/>
      <c r="R42"/>
      <c r="S42"/>
    </row>
    <row r="43" spans="3:19" x14ac:dyDescent="0.25">
      <c r="L43"/>
      <c r="Q43"/>
      <c r="R43"/>
      <c r="S43"/>
    </row>
    <row r="44" spans="3:19" x14ac:dyDescent="0.25">
      <c r="L44"/>
      <c r="Q44"/>
      <c r="R44"/>
      <c r="S44"/>
    </row>
    <row r="45" spans="3:19" x14ac:dyDescent="0.25">
      <c r="L45"/>
      <c r="Q45"/>
      <c r="R45"/>
      <c r="S45"/>
    </row>
    <row r="46" spans="3:19" x14ac:dyDescent="0.25">
      <c r="L46"/>
      <c r="Q46"/>
      <c r="R46"/>
      <c r="S46"/>
    </row>
    <row r="47" spans="3:19" x14ac:dyDescent="0.25">
      <c r="L47"/>
      <c r="Q47"/>
      <c r="R47"/>
      <c r="S47"/>
    </row>
    <row r="48" spans="3:19" x14ac:dyDescent="0.25">
      <c r="L48"/>
      <c r="Q48"/>
      <c r="R48"/>
      <c r="S48"/>
    </row>
    <row r="49" spans="12:19" x14ac:dyDescent="0.25">
      <c r="L49"/>
      <c r="Q49"/>
      <c r="R49"/>
      <c r="S49"/>
    </row>
    <row r="50" spans="12:19" x14ac:dyDescent="0.25">
      <c r="L50"/>
      <c r="Q50"/>
      <c r="R50"/>
      <c r="S50"/>
    </row>
    <row r="51" spans="12:19" x14ac:dyDescent="0.25">
      <c r="L51"/>
      <c r="Q51"/>
      <c r="R51"/>
      <c r="S51"/>
    </row>
    <row r="52" spans="12:19" x14ac:dyDescent="0.25">
      <c r="L52"/>
      <c r="Q52"/>
      <c r="R52"/>
      <c r="S52"/>
    </row>
    <row r="53" spans="12:19" x14ac:dyDescent="0.25">
      <c r="L53"/>
      <c r="Q53"/>
      <c r="R53"/>
      <c r="S53"/>
    </row>
    <row r="54" spans="12:19" x14ac:dyDescent="0.25">
      <c r="L54"/>
      <c r="Q54"/>
      <c r="R54"/>
      <c r="S54"/>
    </row>
    <row r="55" spans="12:19" x14ac:dyDescent="0.25">
      <c r="L55"/>
      <c r="Q55"/>
      <c r="R55"/>
      <c r="S55"/>
    </row>
    <row r="56" spans="12:19" x14ac:dyDescent="0.25">
      <c r="L56"/>
      <c r="Q56"/>
      <c r="R56"/>
      <c r="S56"/>
    </row>
    <row r="57" spans="12:19" x14ac:dyDescent="0.25">
      <c r="L57"/>
      <c r="Q57"/>
      <c r="R57"/>
      <c r="S57"/>
    </row>
    <row r="58" spans="12:19" x14ac:dyDescent="0.25">
      <c r="L58"/>
      <c r="Q58"/>
      <c r="R58"/>
      <c r="S58"/>
    </row>
    <row r="59" spans="12:19" x14ac:dyDescent="0.25">
      <c r="L59"/>
      <c r="Q59"/>
      <c r="R59"/>
      <c r="S59"/>
    </row>
    <row r="60" spans="12:19" x14ac:dyDescent="0.25">
      <c r="L60"/>
      <c r="Q60"/>
      <c r="R60"/>
      <c r="S60"/>
    </row>
    <row r="61" spans="12:19" x14ac:dyDescent="0.25">
      <c r="L61"/>
      <c r="Q61"/>
      <c r="R61"/>
      <c r="S61"/>
    </row>
    <row r="62" spans="12:19" x14ac:dyDescent="0.25">
      <c r="L62"/>
      <c r="Q62"/>
      <c r="R62"/>
      <c r="S62"/>
    </row>
    <row r="63" spans="12:19" x14ac:dyDescent="0.25">
      <c r="L63"/>
      <c r="Q63"/>
      <c r="R63"/>
      <c r="S63"/>
    </row>
    <row r="64" spans="12:19" x14ac:dyDescent="0.25">
      <c r="L64"/>
      <c r="Q64"/>
      <c r="R64"/>
      <c r="S64"/>
    </row>
    <row r="65" spans="12:19" x14ac:dyDescent="0.25">
      <c r="L65"/>
      <c r="Q65"/>
      <c r="R65"/>
      <c r="S65"/>
    </row>
    <row r="66" spans="12:19" x14ac:dyDescent="0.25">
      <c r="L66"/>
      <c r="Q66"/>
      <c r="R66"/>
      <c r="S66"/>
    </row>
    <row r="67" spans="12:19" x14ac:dyDescent="0.25">
      <c r="L67"/>
      <c r="Q67"/>
      <c r="R67"/>
      <c r="S67"/>
    </row>
    <row r="68" spans="12:19" x14ac:dyDescent="0.25">
      <c r="L68"/>
      <c r="Q68"/>
      <c r="R68"/>
      <c r="S68"/>
    </row>
    <row r="69" spans="12:19" x14ac:dyDescent="0.25">
      <c r="L69"/>
      <c r="Q69"/>
      <c r="R69"/>
      <c r="S69"/>
    </row>
    <row r="70" spans="12:19" x14ac:dyDescent="0.25">
      <c r="L70"/>
      <c r="Q70"/>
      <c r="R70"/>
      <c r="S70"/>
    </row>
    <row r="71" spans="12:19" x14ac:dyDescent="0.25">
      <c r="L71"/>
      <c r="Q71"/>
      <c r="R71"/>
      <c r="S71"/>
    </row>
    <row r="72" spans="12:19" x14ac:dyDescent="0.25">
      <c r="L72"/>
      <c r="Q72"/>
      <c r="R72"/>
      <c r="S72"/>
    </row>
    <row r="73" spans="12:19" x14ac:dyDescent="0.25">
      <c r="L73"/>
      <c r="Q73"/>
      <c r="R73"/>
      <c r="S73"/>
    </row>
    <row r="74" spans="12:19" x14ac:dyDescent="0.25">
      <c r="L74"/>
      <c r="Q74"/>
      <c r="R74"/>
      <c r="S74"/>
    </row>
    <row r="75" spans="12:19" x14ac:dyDescent="0.25">
      <c r="L75"/>
      <c r="Q75"/>
      <c r="R75"/>
      <c r="S75"/>
    </row>
    <row r="76" spans="12:19" x14ac:dyDescent="0.25">
      <c r="L76"/>
      <c r="Q76"/>
      <c r="R76"/>
      <c r="S76"/>
    </row>
    <row r="77" spans="12:19" x14ac:dyDescent="0.25">
      <c r="L77"/>
      <c r="Q77"/>
      <c r="R77"/>
      <c r="S77"/>
    </row>
  </sheetData>
  <conditionalFormatting sqref="Q1:S4 Q42:S1048576">
    <cfRule type="expression" dxfId="215" priority="2" stopIfTrue="1">
      <formula>Q1=OFFSET(Q1,-1,0)</formula>
    </cfRule>
  </conditionalFormatting>
  <conditionalFormatting sqref="C1:K1048576">
    <cfRule type="cellIs" dxfId="214" priority="1" stopIfTrue="1" operator="equal">
      <formula>"(blank)"</formula>
    </cfRule>
  </conditionalFormatting>
  <pageMargins left="0.7" right="0.7" top="0.75" bottom="0.75" header="0.3" footer="0.3"/>
  <pageSetup paperSize="9" orientation="portrait" r:id="rId3"/>
  <drawing r:id="rId4"/>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O37"/>
  <sheetViews>
    <sheetView showGridLines="0" workbookViewId="0">
      <selection activeCell="J27" sqref="J27"/>
    </sheetView>
  </sheetViews>
  <sheetFormatPr defaultColWidth="31.7109375" defaultRowHeight="15" x14ac:dyDescent="0.25"/>
  <cols>
    <col min="1" max="1" width="4.28515625" customWidth="1"/>
    <col min="2" max="2" width="12.42578125" style="10" customWidth="1"/>
    <col min="3" max="3" width="8.28515625" bestFit="1" customWidth="1"/>
    <col min="4" max="4" width="10" customWidth="1"/>
    <col min="5" max="5" width="10.7109375" bestFit="1" customWidth="1"/>
    <col min="6" max="6" width="5.5703125" bestFit="1" customWidth="1"/>
    <col min="7" max="7" width="6.5703125" bestFit="1" customWidth="1"/>
    <col min="8" max="8" width="7.28515625" bestFit="1" customWidth="1"/>
    <col min="9" max="9" width="10.7109375" bestFit="1" customWidth="1"/>
    <col min="10" max="10" width="5.5703125" bestFit="1" customWidth="1"/>
    <col min="11" max="11" width="6.5703125" bestFit="1" customWidth="1"/>
    <col min="12" max="12" width="7.28515625" bestFit="1" customWidth="1"/>
    <col min="13" max="13" width="10.7109375" bestFit="1" customWidth="1"/>
    <col min="14" max="14" width="8" customWidth="1"/>
  </cols>
  <sheetData>
    <row r="2" spans="2:15" x14ac:dyDescent="0.25">
      <c r="B2" s="25"/>
      <c r="C2" s="11" t="s">
        <v>3</v>
      </c>
      <c r="D2" s="11" t="s">
        <v>46</v>
      </c>
      <c r="E2" s="25"/>
      <c r="F2" s="25"/>
      <c r="G2" s="25"/>
      <c r="H2" s="25"/>
      <c r="I2" s="25"/>
      <c r="J2" s="25"/>
      <c r="K2" s="25"/>
      <c r="L2" s="25"/>
      <c r="M2" s="25"/>
      <c r="N2" s="25"/>
    </row>
    <row r="3" spans="2:15" x14ac:dyDescent="0.25">
      <c r="B3" s="25"/>
      <c r="C3" s="34" t="s">
        <v>13</v>
      </c>
      <c r="D3" s="35"/>
      <c r="E3" s="35"/>
      <c r="F3" s="35"/>
      <c r="G3" s="34" t="s">
        <v>5</v>
      </c>
      <c r="H3" s="35"/>
      <c r="I3" s="35"/>
      <c r="J3" s="35"/>
      <c r="K3" s="34" t="s">
        <v>9</v>
      </c>
      <c r="L3" s="35"/>
      <c r="M3" s="35"/>
      <c r="N3" s="35"/>
    </row>
    <row r="4" spans="2:15" s="8" customFormat="1" x14ac:dyDescent="0.25">
      <c r="B4" s="11" t="s">
        <v>50</v>
      </c>
      <c r="C4" s="24" t="s">
        <v>47</v>
      </c>
      <c r="D4" s="24" t="s">
        <v>48</v>
      </c>
      <c r="E4" s="24" t="s">
        <v>49</v>
      </c>
      <c r="F4" s="24" t="s">
        <v>53</v>
      </c>
      <c r="G4" s="24" t="s">
        <v>47</v>
      </c>
      <c r="H4" s="24" t="s">
        <v>48</v>
      </c>
      <c r="I4" s="24" t="s">
        <v>49</v>
      </c>
      <c r="J4" s="24" t="s">
        <v>53</v>
      </c>
      <c r="K4" s="24" t="s">
        <v>47</v>
      </c>
      <c r="L4" s="24" t="s">
        <v>48</v>
      </c>
      <c r="M4" s="24" t="s">
        <v>49</v>
      </c>
      <c r="N4" s="24" t="s">
        <v>53</v>
      </c>
      <c r="O4"/>
    </row>
    <row r="5" spans="2:15" x14ac:dyDescent="0.25">
      <c r="B5" s="24" t="s">
        <v>51</v>
      </c>
      <c r="C5" s="1">
        <v>55</v>
      </c>
      <c r="D5" s="7">
        <v>920</v>
      </c>
      <c r="E5" s="7">
        <v>2070</v>
      </c>
      <c r="F5" s="9">
        <v>0.63477460901563942</v>
      </c>
      <c r="G5" s="1">
        <v>90</v>
      </c>
      <c r="H5" s="7">
        <v>1912</v>
      </c>
      <c r="I5" s="7">
        <v>4112</v>
      </c>
      <c r="J5" s="9">
        <v>0.7783456369487034</v>
      </c>
      <c r="K5" s="1">
        <v>72</v>
      </c>
      <c r="L5" s="7">
        <v>1968</v>
      </c>
      <c r="M5" s="7">
        <v>4168</v>
      </c>
      <c r="N5" s="9">
        <v>0.92478366984690485</v>
      </c>
    </row>
    <row r="6" spans="2:15" x14ac:dyDescent="0.25">
      <c r="B6" s="24" t="s">
        <v>52</v>
      </c>
      <c r="C6" s="1">
        <v>37</v>
      </c>
      <c r="D6" s="7">
        <v>0</v>
      </c>
      <c r="E6" s="7">
        <v>1480</v>
      </c>
      <c r="F6" s="9">
        <v>0.45384851272615762</v>
      </c>
      <c r="G6" s="1">
        <v>30</v>
      </c>
      <c r="H6" s="7">
        <v>0</v>
      </c>
      <c r="I6" s="7">
        <v>1200</v>
      </c>
      <c r="J6" s="9">
        <v>0.22714366837024419</v>
      </c>
      <c r="K6" s="1">
        <v>39</v>
      </c>
      <c r="L6" s="7">
        <v>0</v>
      </c>
      <c r="M6" s="7">
        <v>1560</v>
      </c>
      <c r="N6" s="9">
        <v>0.34612824495229644</v>
      </c>
    </row>
    <row r="7" spans="2:15" x14ac:dyDescent="0.25">
      <c r="B7" s="24" t="s">
        <v>17</v>
      </c>
      <c r="C7" s="1">
        <v>15</v>
      </c>
      <c r="D7" s="7">
        <v>-439</v>
      </c>
      <c r="E7" s="7">
        <v>-289</v>
      </c>
      <c r="F7" s="9">
        <v>-8.8623121741796998E-2</v>
      </c>
      <c r="G7" s="1">
        <v>15</v>
      </c>
      <c r="H7" s="7">
        <v>-269</v>
      </c>
      <c r="I7" s="7">
        <v>-29</v>
      </c>
      <c r="J7" s="9">
        <v>-5.4893053189475679E-3</v>
      </c>
      <c r="K7" s="1">
        <v>15</v>
      </c>
      <c r="L7" s="7">
        <v>-1281</v>
      </c>
      <c r="M7" s="7">
        <v>-1221</v>
      </c>
      <c r="N7" s="9">
        <v>-0.27091191479920124</v>
      </c>
    </row>
    <row r="8" spans="2:15" x14ac:dyDescent="0.25">
      <c r="B8" s="24" t="s">
        <v>33</v>
      </c>
      <c r="C8" s="1">
        <v>107</v>
      </c>
      <c r="D8" s="7">
        <v>481</v>
      </c>
      <c r="E8" s="7">
        <v>3261</v>
      </c>
      <c r="F8" s="9">
        <v>1</v>
      </c>
      <c r="G8" s="1">
        <v>135</v>
      </c>
      <c r="H8" s="7">
        <v>1643</v>
      </c>
      <c r="I8" s="7">
        <v>5283</v>
      </c>
      <c r="J8" s="9">
        <v>1</v>
      </c>
      <c r="K8" s="1">
        <v>126</v>
      </c>
      <c r="L8" s="7">
        <v>687</v>
      </c>
      <c r="M8" s="7">
        <v>4507</v>
      </c>
      <c r="N8" s="9">
        <v>1</v>
      </c>
    </row>
    <row r="10" spans="2:15" x14ac:dyDescent="0.25">
      <c r="B10" s="25"/>
      <c r="C10" s="11" t="s">
        <v>3</v>
      </c>
      <c r="D10" s="11" t="s">
        <v>46</v>
      </c>
      <c r="E10" s="25"/>
      <c r="F10" s="25"/>
      <c r="G10" s="25"/>
      <c r="H10" s="25"/>
      <c r="I10" s="25"/>
      <c r="J10" s="25"/>
      <c r="K10" s="25"/>
      <c r="L10" s="25"/>
      <c r="M10" s="25"/>
      <c r="N10" s="25"/>
    </row>
    <row r="11" spans="2:15" x14ac:dyDescent="0.25">
      <c r="B11" s="25"/>
      <c r="C11" s="34" t="s">
        <v>13</v>
      </c>
      <c r="D11" s="35"/>
      <c r="E11" s="35"/>
      <c r="F11" s="35"/>
      <c r="G11" s="34" t="s">
        <v>5</v>
      </c>
      <c r="H11" s="35"/>
      <c r="I11" s="35"/>
      <c r="J11" s="35"/>
      <c r="K11" s="34" t="s">
        <v>9</v>
      </c>
      <c r="L11" s="35"/>
      <c r="M11" s="35"/>
      <c r="N11" s="35"/>
    </row>
    <row r="12" spans="2:15" x14ac:dyDescent="0.25">
      <c r="B12" s="11" t="s">
        <v>2</v>
      </c>
      <c r="C12" s="24" t="s">
        <v>47</v>
      </c>
      <c r="D12" s="24" t="s">
        <v>48</v>
      </c>
      <c r="E12" s="24" t="s">
        <v>49</v>
      </c>
      <c r="F12" s="24" t="s">
        <v>53</v>
      </c>
      <c r="G12" s="24" t="s">
        <v>47</v>
      </c>
      <c r="H12" s="24" t="s">
        <v>48</v>
      </c>
      <c r="I12" s="24" t="s">
        <v>49</v>
      </c>
      <c r="J12" s="24" t="s">
        <v>53</v>
      </c>
      <c r="K12" s="24" t="s">
        <v>47</v>
      </c>
      <c r="L12" s="24" t="s">
        <v>48</v>
      </c>
      <c r="M12" s="24" t="s">
        <v>49</v>
      </c>
      <c r="N12" s="24" t="s">
        <v>53</v>
      </c>
    </row>
    <row r="13" spans="2:15" x14ac:dyDescent="0.25">
      <c r="B13" s="24" t="s">
        <v>10</v>
      </c>
      <c r="C13" s="1">
        <v>15</v>
      </c>
      <c r="D13" s="7">
        <v>624</v>
      </c>
      <c r="E13" s="7">
        <v>1154</v>
      </c>
      <c r="F13" s="9">
        <v>0.35387917816620668</v>
      </c>
      <c r="G13" s="1">
        <v>24</v>
      </c>
      <c r="H13" s="7">
        <v>1728</v>
      </c>
      <c r="I13" s="7">
        <v>2798</v>
      </c>
      <c r="J13" s="9">
        <v>0.52962332008328605</v>
      </c>
      <c r="K13" s="1">
        <v>17</v>
      </c>
      <c r="L13" s="7">
        <v>1080</v>
      </c>
      <c r="M13" s="7">
        <v>1800</v>
      </c>
      <c r="N13" s="9">
        <v>0.39937874417572666</v>
      </c>
    </row>
    <row r="14" spans="2:15" x14ac:dyDescent="0.25">
      <c r="B14" s="24" t="s">
        <v>6</v>
      </c>
      <c r="C14" s="1">
        <v>11</v>
      </c>
      <c r="D14" s="7">
        <v>156</v>
      </c>
      <c r="E14" s="7">
        <v>556</v>
      </c>
      <c r="F14" s="9">
        <v>0.17049984667279974</v>
      </c>
      <c r="G14" s="1">
        <v>21</v>
      </c>
      <c r="H14" s="7">
        <v>240</v>
      </c>
      <c r="I14" s="7">
        <v>960</v>
      </c>
      <c r="J14" s="9">
        <v>0.18171493469619535</v>
      </c>
      <c r="K14" s="1">
        <v>14</v>
      </c>
      <c r="L14" s="7">
        <v>228</v>
      </c>
      <c r="M14" s="7">
        <v>688</v>
      </c>
      <c r="N14" s="9">
        <v>0.15265143110716664</v>
      </c>
    </row>
    <row r="15" spans="2:15" x14ac:dyDescent="0.25">
      <c r="B15" s="24" t="s">
        <v>11</v>
      </c>
      <c r="C15" s="1">
        <v>21</v>
      </c>
      <c r="D15" s="7">
        <v>0</v>
      </c>
      <c r="E15" s="7">
        <v>550</v>
      </c>
      <c r="F15" s="9">
        <v>0.16865992026985588</v>
      </c>
      <c r="G15" s="1">
        <v>25</v>
      </c>
      <c r="H15" s="7">
        <v>-22</v>
      </c>
      <c r="I15" s="7">
        <v>458</v>
      </c>
      <c r="J15" s="9">
        <v>8.6693166761309864E-2</v>
      </c>
      <c r="K15" s="1">
        <v>24</v>
      </c>
      <c r="L15" s="7">
        <v>209</v>
      </c>
      <c r="M15" s="7">
        <v>999</v>
      </c>
      <c r="N15" s="9">
        <v>0.22165520301752828</v>
      </c>
    </row>
    <row r="16" spans="2:15" x14ac:dyDescent="0.25">
      <c r="B16" s="24" t="s">
        <v>16</v>
      </c>
      <c r="C16" s="1">
        <v>15</v>
      </c>
      <c r="D16" s="7">
        <v>110</v>
      </c>
      <c r="E16" s="7">
        <v>590</v>
      </c>
      <c r="F16" s="9">
        <v>0.18092609628948175</v>
      </c>
      <c r="G16" s="1">
        <v>19</v>
      </c>
      <c r="H16" s="7">
        <v>10</v>
      </c>
      <c r="I16" s="7">
        <v>420</v>
      </c>
      <c r="J16" s="9">
        <v>7.9500283929585469E-2</v>
      </c>
      <c r="K16" s="1">
        <v>21</v>
      </c>
      <c r="L16" s="7">
        <v>290</v>
      </c>
      <c r="M16" s="7">
        <v>1070</v>
      </c>
      <c r="N16" s="9">
        <v>0.23740847570445972</v>
      </c>
    </row>
    <row r="17" spans="2:14" x14ac:dyDescent="0.25">
      <c r="B17" s="24" t="s">
        <v>14</v>
      </c>
      <c r="C17" s="1">
        <v>15</v>
      </c>
      <c r="D17" s="7">
        <v>225</v>
      </c>
      <c r="E17" s="7">
        <v>805</v>
      </c>
      <c r="F17" s="9">
        <v>0.24685679239497088</v>
      </c>
      <c r="G17" s="1">
        <v>13</v>
      </c>
      <c r="H17" s="7">
        <v>-90</v>
      </c>
      <c r="I17" s="7">
        <v>210</v>
      </c>
      <c r="J17" s="9">
        <v>3.9750141964792735E-2</v>
      </c>
      <c r="K17" s="1">
        <v>20</v>
      </c>
      <c r="L17" s="7">
        <v>207</v>
      </c>
      <c r="M17" s="7">
        <v>767</v>
      </c>
      <c r="N17" s="9">
        <v>0.17017972043487908</v>
      </c>
    </row>
    <row r="18" spans="2:14" x14ac:dyDescent="0.25">
      <c r="B18" s="24" t="s">
        <v>15</v>
      </c>
      <c r="C18" s="1">
        <v>15</v>
      </c>
      <c r="D18" s="7">
        <v>-195</v>
      </c>
      <c r="E18" s="7">
        <v>-105</v>
      </c>
      <c r="F18" s="9">
        <v>-3.219871205151794E-2</v>
      </c>
      <c r="G18" s="1">
        <v>18</v>
      </c>
      <c r="H18" s="7">
        <v>46</v>
      </c>
      <c r="I18" s="7">
        <v>466</v>
      </c>
      <c r="J18" s="9">
        <v>8.8207457883778151E-2</v>
      </c>
      <c r="K18" s="1">
        <v>15</v>
      </c>
      <c r="L18" s="7">
        <v>-46</v>
      </c>
      <c r="M18" s="7">
        <v>404</v>
      </c>
      <c r="N18" s="9">
        <v>8.9638340359440863E-2</v>
      </c>
    </row>
    <row r="19" spans="2:14" x14ac:dyDescent="0.25">
      <c r="B19" s="24" t="s">
        <v>17</v>
      </c>
      <c r="C19" s="1">
        <v>15</v>
      </c>
      <c r="D19" s="7">
        <v>-439</v>
      </c>
      <c r="E19" s="7">
        <v>-289</v>
      </c>
      <c r="F19" s="9">
        <v>-8.8623121741796998E-2</v>
      </c>
      <c r="G19" s="1">
        <v>15</v>
      </c>
      <c r="H19" s="7">
        <v>-269</v>
      </c>
      <c r="I19" s="7">
        <v>-29</v>
      </c>
      <c r="J19" s="9">
        <v>-5.4893053189475679E-3</v>
      </c>
      <c r="K19" s="1">
        <v>15</v>
      </c>
      <c r="L19" s="7">
        <v>-1281</v>
      </c>
      <c r="M19" s="7">
        <v>-1221</v>
      </c>
      <c r="N19" s="9">
        <v>-0.27091191479920124</v>
      </c>
    </row>
    <row r="20" spans="2:14" x14ac:dyDescent="0.25">
      <c r="B20" s="24" t="s">
        <v>33</v>
      </c>
      <c r="C20" s="1">
        <v>107</v>
      </c>
      <c r="D20" s="7">
        <v>481</v>
      </c>
      <c r="E20" s="7">
        <v>3261</v>
      </c>
      <c r="F20" s="9">
        <v>1</v>
      </c>
      <c r="G20" s="1">
        <v>135</v>
      </c>
      <c r="H20" s="7">
        <v>1643</v>
      </c>
      <c r="I20" s="7">
        <v>5283</v>
      </c>
      <c r="J20" s="9">
        <v>1</v>
      </c>
      <c r="K20" s="1">
        <v>126</v>
      </c>
      <c r="L20" s="7">
        <v>687</v>
      </c>
      <c r="M20" s="7">
        <v>4507</v>
      </c>
      <c r="N20" s="9">
        <v>1</v>
      </c>
    </row>
    <row r="22" spans="2:14" ht="33.75" customHeight="1" x14ac:dyDescent="0.25">
      <c r="B22" s="25"/>
      <c r="C22" s="11" t="s">
        <v>3</v>
      </c>
      <c r="D22" s="11" t="s">
        <v>46</v>
      </c>
      <c r="E22" s="25"/>
      <c r="F22" s="25"/>
      <c r="G22" s="25"/>
      <c r="H22" s="25"/>
      <c r="I22" s="25"/>
      <c r="J22" s="25"/>
      <c r="K22" s="25"/>
      <c r="L22" s="25"/>
      <c r="M22" s="25"/>
      <c r="N22" s="25"/>
    </row>
    <row r="23" spans="2:14" x14ac:dyDescent="0.25">
      <c r="B23" s="25"/>
      <c r="C23" s="34" t="s">
        <v>13</v>
      </c>
      <c r="D23" s="35"/>
      <c r="E23" s="35"/>
      <c r="F23" s="35"/>
      <c r="G23" s="34" t="s">
        <v>5</v>
      </c>
      <c r="H23" s="35"/>
      <c r="I23" s="35"/>
      <c r="J23" s="35"/>
      <c r="K23" s="34" t="s">
        <v>9</v>
      </c>
      <c r="L23" s="35"/>
      <c r="M23" s="35"/>
      <c r="N23" s="35"/>
    </row>
    <row r="24" spans="2:14" x14ac:dyDescent="0.25">
      <c r="B24" s="11" t="s">
        <v>8</v>
      </c>
      <c r="C24" s="24" t="s">
        <v>47</v>
      </c>
      <c r="D24" s="24" t="s">
        <v>48</v>
      </c>
      <c r="E24" s="24" t="s">
        <v>49</v>
      </c>
      <c r="F24" s="24" t="s">
        <v>53</v>
      </c>
      <c r="G24" s="24" t="s">
        <v>47</v>
      </c>
      <c r="H24" s="24" t="s">
        <v>48</v>
      </c>
      <c r="I24" s="24" t="s">
        <v>49</v>
      </c>
      <c r="J24" s="24" t="s">
        <v>53</v>
      </c>
      <c r="K24" s="24" t="s">
        <v>47</v>
      </c>
      <c r="L24" s="24" t="s">
        <v>48</v>
      </c>
      <c r="M24" s="24" t="s">
        <v>49</v>
      </c>
      <c r="N24" s="24" t="s">
        <v>53</v>
      </c>
    </row>
    <row r="25" spans="2:14" x14ac:dyDescent="0.25">
      <c r="B25" s="24">
        <v>-4</v>
      </c>
      <c r="C25" s="1">
        <v>2</v>
      </c>
      <c r="D25" s="7">
        <v>-288</v>
      </c>
      <c r="E25" s="7">
        <v>-298</v>
      </c>
      <c r="F25" s="9">
        <v>-9.1383011346212822E-2</v>
      </c>
      <c r="G25" s="1">
        <v>4</v>
      </c>
      <c r="H25" s="7">
        <v>-25</v>
      </c>
      <c r="I25" s="7">
        <v>65</v>
      </c>
      <c r="J25" s="9">
        <v>1.2303615370054893E-2</v>
      </c>
      <c r="K25" s="1">
        <v>2</v>
      </c>
      <c r="L25" s="7">
        <v>0</v>
      </c>
      <c r="M25" s="7">
        <v>80</v>
      </c>
      <c r="N25" s="9">
        <v>1.7750166407810072E-2</v>
      </c>
    </row>
    <row r="26" spans="2:14" x14ac:dyDescent="0.25">
      <c r="B26" s="24">
        <v>-3</v>
      </c>
      <c r="C26" s="1">
        <v>5</v>
      </c>
      <c r="D26" s="7">
        <v>-4</v>
      </c>
      <c r="E26" s="7">
        <v>126</v>
      </c>
      <c r="F26" s="9">
        <v>3.8638454461821528E-2</v>
      </c>
      <c r="G26" s="1">
        <v>4</v>
      </c>
      <c r="H26" s="7">
        <v>-102</v>
      </c>
      <c r="I26" s="7">
        <v>-112</v>
      </c>
      <c r="J26" s="9">
        <v>-2.1200075714556125E-2</v>
      </c>
      <c r="K26" s="1">
        <v>6</v>
      </c>
      <c r="L26" s="7">
        <v>157</v>
      </c>
      <c r="M26" s="7">
        <v>427</v>
      </c>
      <c r="N26" s="9">
        <v>9.4741513201686264E-2</v>
      </c>
    </row>
    <row r="27" spans="2:14" x14ac:dyDescent="0.25">
      <c r="B27" s="24">
        <v>-2</v>
      </c>
      <c r="C27" s="1">
        <v>10</v>
      </c>
      <c r="D27" s="7">
        <v>149</v>
      </c>
      <c r="E27" s="7">
        <v>499</v>
      </c>
      <c r="F27" s="9">
        <v>0.15302054584483288</v>
      </c>
      <c r="G27" s="1">
        <v>9</v>
      </c>
      <c r="H27" s="7">
        <v>-213</v>
      </c>
      <c r="I27" s="7">
        <v>-183</v>
      </c>
      <c r="J27" s="9">
        <v>-3.4639409426462237E-2</v>
      </c>
      <c r="K27" s="1">
        <v>10</v>
      </c>
      <c r="L27" s="7">
        <v>154</v>
      </c>
      <c r="M27" s="7">
        <v>504</v>
      </c>
      <c r="N27" s="9">
        <v>0.11182604836920346</v>
      </c>
    </row>
    <row r="28" spans="2:14" x14ac:dyDescent="0.25">
      <c r="B28" s="24">
        <v>-1</v>
      </c>
      <c r="C28" s="1">
        <v>18</v>
      </c>
      <c r="D28" s="7">
        <v>131</v>
      </c>
      <c r="E28" s="7">
        <v>721</v>
      </c>
      <c r="F28" s="9">
        <v>0.22109782275375653</v>
      </c>
      <c r="G28" s="1">
        <v>26</v>
      </c>
      <c r="H28" s="7">
        <v>153</v>
      </c>
      <c r="I28" s="7">
        <v>963</v>
      </c>
      <c r="J28" s="9">
        <v>0.18228279386712096</v>
      </c>
      <c r="K28" s="1">
        <v>27</v>
      </c>
      <c r="L28" s="7">
        <v>-45</v>
      </c>
      <c r="M28" s="7">
        <v>545</v>
      </c>
      <c r="N28" s="9">
        <v>0.12092300865320613</v>
      </c>
    </row>
    <row r="29" spans="2:14" x14ac:dyDescent="0.25">
      <c r="B29" s="24">
        <v>0</v>
      </c>
      <c r="C29" s="1">
        <v>30</v>
      </c>
      <c r="D29" s="7">
        <v>-634</v>
      </c>
      <c r="E29" s="7">
        <v>-394</v>
      </c>
      <c r="F29" s="9">
        <v>-0.12082183379331493</v>
      </c>
      <c r="G29" s="1">
        <v>33</v>
      </c>
      <c r="H29" s="7">
        <v>-223</v>
      </c>
      <c r="I29" s="7">
        <v>437</v>
      </c>
      <c r="J29" s="9">
        <v>8.2718152564830588E-2</v>
      </c>
      <c r="K29" s="1">
        <v>30</v>
      </c>
      <c r="L29" s="7">
        <v>-1327</v>
      </c>
      <c r="M29" s="7">
        <v>-817</v>
      </c>
      <c r="N29" s="9">
        <v>-0.18127357443976036</v>
      </c>
    </row>
    <row r="30" spans="2:14" x14ac:dyDescent="0.25">
      <c r="B30" s="24">
        <v>1</v>
      </c>
      <c r="C30" s="1">
        <v>21</v>
      </c>
      <c r="D30" s="7">
        <v>202</v>
      </c>
      <c r="E30" s="7">
        <v>792</v>
      </c>
      <c r="F30" s="9">
        <v>0.24287028518859247</v>
      </c>
      <c r="G30" s="1">
        <v>31</v>
      </c>
      <c r="H30" s="7">
        <v>537</v>
      </c>
      <c r="I30" s="7">
        <v>1717</v>
      </c>
      <c r="J30" s="9">
        <v>0.32500473215975773</v>
      </c>
      <c r="K30" s="1">
        <v>24</v>
      </c>
      <c r="L30" s="7">
        <v>293</v>
      </c>
      <c r="M30" s="7">
        <v>1123</v>
      </c>
      <c r="N30" s="9">
        <v>0.24916796094963389</v>
      </c>
    </row>
    <row r="31" spans="2:14" x14ac:dyDescent="0.25">
      <c r="B31" s="24">
        <v>2</v>
      </c>
      <c r="C31" s="1">
        <v>11</v>
      </c>
      <c r="D31" s="7">
        <v>359</v>
      </c>
      <c r="E31" s="7">
        <v>849</v>
      </c>
      <c r="F31" s="9">
        <v>0.26034958601655933</v>
      </c>
      <c r="G31" s="1">
        <v>13</v>
      </c>
      <c r="H31" s="7">
        <v>46</v>
      </c>
      <c r="I31" s="7">
        <v>186</v>
      </c>
      <c r="J31" s="9">
        <v>3.5207268597387847E-2</v>
      </c>
      <c r="K31" s="1">
        <v>14</v>
      </c>
      <c r="L31" s="7">
        <v>344</v>
      </c>
      <c r="M31" s="7">
        <v>894</v>
      </c>
      <c r="N31" s="9">
        <v>0.19835810960727757</v>
      </c>
    </row>
    <row r="32" spans="2:14" x14ac:dyDescent="0.25">
      <c r="B32" s="24">
        <v>3</v>
      </c>
      <c r="C32" s="1">
        <v>4</v>
      </c>
      <c r="D32" s="7">
        <v>28</v>
      </c>
      <c r="E32" s="7">
        <v>128</v>
      </c>
      <c r="F32" s="9">
        <v>3.9251763262802823E-2</v>
      </c>
      <c r="G32" s="1">
        <v>7</v>
      </c>
      <c r="H32" s="7">
        <v>534</v>
      </c>
      <c r="I32" s="7">
        <v>874</v>
      </c>
      <c r="J32" s="9">
        <v>0.16543630512966118</v>
      </c>
      <c r="K32" s="1">
        <v>9</v>
      </c>
      <c r="L32" s="7">
        <v>667</v>
      </c>
      <c r="M32" s="7">
        <v>1107</v>
      </c>
      <c r="N32" s="9">
        <v>0.24561792766807189</v>
      </c>
    </row>
    <row r="33" spans="2:14" x14ac:dyDescent="0.25">
      <c r="B33" s="24">
        <v>4</v>
      </c>
      <c r="C33" s="1">
        <v>6</v>
      </c>
      <c r="D33" s="7">
        <v>538</v>
      </c>
      <c r="E33" s="7">
        <v>838</v>
      </c>
      <c r="F33" s="9">
        <v>0.2569763876111622</v>
      </c>
      <c r="G33" s="1">
        <v>8</v>
      </c>
      <c r="H33" s="7">
        <v>936</v>
      </c>
      <c r="I33" s="7">
        <v>1336</v>
      </c>
      <c r="J33" s="9">
        <v>0.2528866174522052</v>
      </c>
      <c r="K33" s="1">
        <v>4</v>
      </c>
      <c r="L33" s="7">
        <v>444</v>
      </c>
      <c r="M33" s="7">
        <v>644</v>
      </c>
      <c r="N33" s="9">
        <v>0.1428888395828711</v>
      </c>
    </row>
    <row r="34" spans="2:14" x14ac:dyDescent="0.25">
      <c r="B34" s="24" t="s">
        <v>33</v>
      </c>
      <c r="C34" s="1">
        <v>107</v>
      </c>
      <c r="D34" s="7">
        <v>481</v>
      </c>
      <c r="E34" s="7">
        <v>3261</v>
      </c>
      <c r="F34" s="9">
        <v>1</v>
      </c>
      <c r="G34" s="1">
        <v>135</v>
      </c>
      <c r="H34" s="7">
        <v>1643</v>
      </c>
      <c r="I34" s="7">
        <v>5283</v>
      </c>
      <c r="J34" s="9">
        <v>1</v>
      </c>
      <c r="K34" s="1">
        <v>126</v>
      </c>
      <c r="L34" s="7">
        <v>687</v>
      </c>
      <c r="M34" s="7">
        <v>4507</v>
      </c>
      <c r="N34" s="9">
        <v>1</v>
      </c>
    </row>
    <row r="35" spans="2:14" x14ac:dyDescent="0.25">
      <c r="B35"/>
    </row>
    <row r="36" spans="2:14" x14ac:dyDescent="0.25">
      <c r="B36"/>
    </row>
    <row r="37" spans="2:14" x14ac:dyDescent="0.25">
      <c r="B37"/>
    </row>
  </sheetData>
  <mergeCells count="9">
    <mergeCell ref="C3:F3"/>
    <mergeCell ref="G3:J3"/>
    <mergeCell ref="K3:N3"/>
    <mergeCell ref="C23:F23"/>
    <mergeCell ref="G23:J23"/>
    <mergeCell ref="K23:N23"/>
    <mergeCell ref="C11:F11"/>
    <mergeCell ref="G11:J11"/>
    <mergeCell ref="K11:N1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8"/>
  <sheetViews>
    <sheetView showGridLines="0" topLeftCell="E1" zoomScaleNormal="100" workbookViewId="0">
      <selection activeCell="D1" sqref="A1:D1048576"/>
    </sheetView>
  </sheetViews>
  <sheetFormatPr defaultRowHeight="15" x14ac:dyDescent="0.25"/>
  <cols>
    <col min="1" max="2" width="11.42578125" hidden="1" customWidth="1"/>
    <col min="3" max="4" width="9.140625" hidden="1" customWidth="1"/>
  </cols>
  <sheetData>
    <row r="1" spans="1:4" x14ac:dyDescent="0.25">
      <c r="A1" s="11" t="s">
        <v>49</v>
      </c>
      <c r="B1" s="11" t="s">
        <v>3</v>
      </c>
      <c r="C1" s="25"/>
      <c r="D1" s="25"/>
    </row>
    <row r="2" spans="1:4" x14ac:dyDescent="0.25">
      <c r="A2" s="11" t="s">
        <v>0</v>
      </c>
      <c r="B2" s="24" t="s">
        <v>13</v>
      </c>
      <c r="C2" s="24" t="s">
        <v>5</v>
      </c>
      <c r="D2" s="24" t="s">
        <v>9</v>
      </c>
    </row>
    <row r="3" spans="1:4" x14ac:dyDescent="0.25">
      <c r="A3" s="12">
        <v>43295</v>
      </c>
      <c r="B3" s="7">
        <v>653</v>
      </c>
      <c r="C3" s="7">
        <v>966</v>
      </c>
      <c r="D3" s="7">
        <v>-69</v>
      </c>
    </row>
    <row r="4" spans="1:4" x14ac:dyDescent="0.25">
      <c r="A4" s="12">
        <v>43323</v>
      </c>
      <c r="B4" s="7">
        <v>599</v>
      </c>
      <c r="C4" s="7">
        <v>2163</v>
      </c>
      <c r="D4" s="7">
        <v>1095</v>
      </c>
    </row>
    <row r="5" spans="1:4" x14ac:dyDescent="0.25">
      <c r="A5" s="12">
        <v>43345</v>
      </c>
      <c r="B5" s="7">
        <v>1986</v>
      </c>
      <c r="C5" s="7">
        <v>3369</v>
      </c>
      <c r="D5" s="7">
        <v>3019</v>
      </c>
    </row>
    <row r="6" spans="1:4" x14ac:dyDescent="0.25">
      <c r="A6" s="12">
        <v>43379</v>
      </c>
      <c r="B6" s="7">
        <v>2801</v>
      </c>
      <c r="C6" s="7">
        <v>4393</v>
      </c>
      <c r="D6" s="7">
        <v>3885</v>
      </c>
    </row>
    <row r="7" spans="1:4" x14ac:dyDescent="0.25">
      <c r="A7" s="12">
        <v>43380</v>
      </c>
      <c r="B7" s="7">
        <v>3261</v>
      </c>
      <c r="C7" s="7">
        <v>5283</v>
      </c>
      <c r="D7" s="7">
        <v>4507</v>
      </c>
    </row>
    <row r="8" spans="1:4" x14ac:dyDescent="0.25">
      <c r="A8" s="24" t="s">
        <v>33</v>
      </c>
      <c r="B8" s="7"/>
      <c r="C8" s="7"/>
      <c r="D8" s="7"/>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election activeCell="B7" sqref="B7"/>
    </sheetView>
  </sheetViews>
  <sheetFormatPr defaultRowHeight="15" x14ac:dyDescent="0.25"/>
  <cols>
    <col min="2" max="2" width="12.42578125" bestFit="1" customWidth="1"/>
    <col min="3" max="3" width="13" bestFit="1" customWidth="1"/>
    <col min="5" max="5" width="22" bestFit="1" customWidth="1"/>
    <col min="8" max="8" width="18.42578125" customWidth="1"/>
  </cols>
  <sheetData>
    <row r="1" spans="1:6" x14ac:dyDescent="0.25">
      <c r="A1" t="s">
        <v>21</v>
      </c>
      <c r="B1" t="s">
        <v>24</v>
      </c>
      <c r="C1" t="s">
        <v>2</v>
      </c>
      <c r="E1" t="s">
        <v>24</v>
      </c>
      <c r="F1" t="s">
        <v>32</v>
      </c>
    </row>
    <row r="2" spans="1:6" x14ac:dyDescent="0.25">
      <c r="A2" t="s">
        <v>17</v>
      </c>
      <c r="C2" t="s">
        <v>23</v>
      </c>
      <c r="F2">
        <v>1</v>
      </c>
    </row>
    <row r="3" spans="1:6" x14ac:dyDescent="0.25">
      <c r="A3" t="s">
        <v>14</v>
      </c>
      <c r="C3">
        <v>9</v>
      </c>
      <c r="E3" t="s">
        <v>22</v>
      </c>
      <c r="F3">
        <v>2</v>
      </c>
    </row>
    <row r="4" spans="1:6" x14ac:dyDescent="0.25">
      <c r="A4" t="s">
        <v>16</v>
      </c>
      <c r="C4">
        <v>10</v>
      </c>
      <c r="E4" t="s">
        <v>19</v>
      </c>
      <c r="F4">
        <v>2</v>
      </c>
    </row>
    <row r="5" spans="1:6" x14ac:dyDescent="0.25">
      <c r="A5" t="s">
        <v>11</v>
      </c>
      <c r="C5">
        <v>11</v>
      </c>
      <c r="E5" t="s">
        <v>25</v>
      </c>
      <c r="F5">
        <v>3</v>
      </c>
    </row>
    <row r="6" spans="1:6" x14ac:dyDescent="0.25">
      <c r="A6" t="s">
        <v>6</v>
      </c>
      <c r="C6">
        <v>12</v>
      </c>
      <c r="E6" t="s">
        <v>26</v>
      </c>
      <c r="F6">
        <v>4</v>
      </c>
    </row>
    <row r="7" spans="1:6" x14ac:dyDescent="0.25">
      <c r="A7" t="s">
        <v>15</v>
      </c>
      <c r="C7">
        <v>23</v>
      </c>
      <c r="E7" t="s">
        <v>31</v>
      </c>
      <c r="F7">
        <v>5</v>
      </c>
    </row>
    <row r="8" spans="1:6" x14ac:dyDescent="0.25">
      <c r="A8" t="s">
        <v>15</v>
      </c>
      <c r="B8" t="s">
        <v>22</v>
      </c>
      <c r="C8">
        <v>35</v>
      </c>
      <c r="E8" t="s">
        <v>54</v>
      </c>
      <c r="F8">
        <v>3</v>
      </c>
    </row>
    <row r="9" spans="1:6" x14ac:dyDescent="0.25">
      <c r="A9" t="s">
        <v>15</v>
      </c>
      <c r="B9" t="s">
        <v>30</v>
      </c>
      <c r="C9">
        <v>46</v>
      </c>
      <c r="E9" t="s">
        <v>27</v>
      </c>
      <c r="F9">
        <v>3</v>
      </c>
    </row>
    <row r="10" spans="1:6" x14ac:dyDescent="0.25">
      <c r="A10" t="s">
        <v>15</v>
      </c>
      <c r="B10" t="s">
        <v>39</v>
      </c>
      <c r="C10">
        <v>59</v>
      </c>
      <c r="E10" t="s">
        <v>28</v>
      </c>
      <c r="F10">
        <v>4</v>
      </c>
    </row>
    <row r="11" spans="1:6" x14ac:dyDescent="0.25">
      <c r="A11" t="s">
        <v>10</v>
      </c>
      <c r="C11">
        <v>24</v>
      </c>
      <c r="E11" t="s">
        <v>29</v>
      </c>
      <c r="F11">
        <v>5</v>
      </c>
    </row>
    <row r="12" spans="1:6" x14ac:dyDescent="0.25">
      <c r="E12" t="s">
        <v>30</v>
      </c>
      <c r="F12">
        <v>6</v>
      </c>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17DA4C8B-C684-4A70-9EB9-FD1D74C634F4}">
  <ds:schemaRefs/>
</ds:datastoreItem>
</file>

<file path=customXml/itemProps2.xml><?xml version="1.0" encoding="utf-8"?>
<ds:datastoreItem xmlns:ds="http://schemas.openxmlformats.org/officeDocument/2006/customXml" ds:itemID="{CBDA8CC6-BA75-4FE9-A1BE-8D2DE92B4FE0}">
  <ds:schemaRefs/>
</ds:datastoreItem>
</file>

<file path=customXml/itemProps3.xml><?xml version="1.0" encoding="utf-8"?>
<ds:datastoreItem xmlns:ds="http://schemas.openxmlformats.org/officeDocument/2006/customXml" ds:itemID="{D9B86D30-2DC2-46B9-9591-59031D38C3C1}">
  <ds:schemaRefs/>
</ds:datastoreItem>
</file>

<file path=customXml/itemProps4.xml><?xml version="1.0" encoding="utf-8"?>
<ds:datastoreItem xmlns:ds="http://schemas.openxmlformats.org/officeDocument/2006/customXml" ds:itemID="{68E3875B-158E-4D0B-A747-C5E83EB300B1}">
  <ds:schemaRefs/>
</ds:datastoreItem>
</file>

<file path=customXml/itemProps5.xml><?xml version="1.0" encoding="utf-8"?>
<ds:datastoreItem xmlns:ds="http://schemas.openxmlformats.org/officeDocument/2006/customXml" ds:itemID="{EAABF6E0-EF36-4AA6-B10A-D04E34348FC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Auswertung</vt:lpstr>
      <vt:lpstr>Skat Input</vt:lpstr>
      <vt:lpstr>Spiellisten</vt:lpstr>
      <vt:lpstr>Stats</vt:lpstr>
      <vt:lpstr>Graph</vt:lpstr>
      <vt:lpstr>Config</vt:lpstr>
      <vt:lpstr>MaxLoss</vt:lpstr>
      <vt:lpstr>Tarif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2018-04-22T07:30:38Z</dcterms:created>
  <dcterms:modified xsi:type="dcterms:W3CDTF">2018-10-07T10:39:58Z</dcterms:modified>
</cp:coreProperties>
</file>